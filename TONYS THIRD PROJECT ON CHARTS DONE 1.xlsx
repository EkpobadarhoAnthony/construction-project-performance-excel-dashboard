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EXCEL PRACTICE DOCS\"/>
    </mc:Choice>
  </mc:AlternateContent>
  <xr:revisionPtr revIDLastSave="0" documentId="8_{041FAB55-BBC2-4E89-B0DE-3966F8A7C5EA}" xr6:coauthVersionLast="47" xr6:coauthVersionMax="47" xr10:uidLastSave="{00000000-0000-0000-0000-000000000000}"/>
  <bookViews>
    <workbookView xWindow="-108" yWindow="-108" windowWidth="23256" windowHeight="12456" activeTab="2" xr2:uid="{FBE0A42C-0E9A-459A-BDA5-F655CE36DA0F}"/>
  </bookViews>
  <sheets>
    <sheet name="PROJECT DATA" sheetId="1" r:id="rId1"/>
    <sheet name="ANALYSIS" sheetId="3" r:id="rId2"/>
    <sheet name="DASHBOARD" sheetId="2" r:id="rId3"/>
  </sheets>
  <definedNames>
    <definedName name="_xlchart.v1.0" hidden="1">ANALYSIS!$N$2:$N$4</definedName>
    <definedName name="_xlchart.v1.1" hidden="1">ANALYSIS!$O$1</definedName>
    <definedName name="_xlchart.v1.2" hidden="1">ANALYSIS!$O$2:$O$4</definedName>
    <definedName name="_xlchart.v1.3" hidden="1">'PROJECT DATA'!$W$1</definedName>
    <definedName name="_xlchart.v1.4" hidden="1">'PROJECT DATA'!$W$2:$W$16</definedName>
    <definedName name="_xlchart.v1.5" hidden="1">'PROJECT DATA'!$B$2:$B$16</definedName>
    <definedName name="_xlchart.v1.6" hidden="1">'PROJECT DATA'!$O$1</definedName>
    <definedName name="_xlchart.v1.7" hidden="1">'PROJECT DATA'!$O$2:$O$16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3" l="1"/>
  <c r="D6" i="3"/>
  <c r="D5" i="3"/>
  <c r="AI6" i="3"/>
  <c r="AI5" i="3"/>
  <c r="AI4" i="3"/>
  <c r="AI3" i="3"/>
  <c r="X2" i="1"/>
  <c r="AG6" i="3"/>
  <c r="AG5" i="3"/>
  <c r="AG4" i="3"/>
  <c r="AG3" i="3"/>
  <c r="W2" i="3"/>
  <c r="AF6" i="3"/>
  <c r="AF5" i="3"/>
  <c r="AF4" i="3"/>
  <c r="AF3" i="3"/>
  <c r="Y2" i="1"/>
  <c r="W5" i="3"/>
  <c r="W4" i="3"/>
  <c r="W3" i="3"/>
  <c r="V3" i="3"/>
  <c r="V4" i="3"/>
  <c r="V5" i="3"/>
  <c r="V2" i="3"/>
  <c r="D2" i="1" a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J2" i="1" s="1"/>
  <c r="G7" i="3"/>
  <c r="G3" i="3"/>
  <c r="O3" i="3" s="1"/>
  <c r="G2" i="3"/>
  <c r="O2" i="3" s="1"/>
  <c r="AC16" i="1"/>
  <c r="AC5" i="1"/>
  <c r="AC14" i="1"/>
  <c r="AC9" i="1"/>
  <c r="AC13" i="1"/>
  <c r="AC3" i="1"/>
  <c r="AC10" i="1"/>
  <c r="AC2" i="1"/>
  <c r="AC12" i="1"/>
  <c r="AC15" i="1"/>
  <c r="AC6" i="1"/>
  <c r="AC7" i="1"/>
  <c r="AC4" i="1"/>
  <c r="AC11" i="1"/>
  <c r="AC8" i="1"/>
  <c r="AB16" i="1"/>
  <c r="AB5" i="1"/>
  <c r="AB14" i="1"/>
  <c r="AB9" i="1"/>
  <c r="AB13" i="1"/>
  <c r="AB3" i="1"/>
  <c r="AB10" i="1"/>
  <c r="AB2" i="1"/>
  <c r="AB12" i="1"/>
  <c r="AB15" i="1"/>
  <c r="AB6" i="1"/>
  <c r="AB7" i="1"/>
  <c r="AB4" i="1"/>
  <c r="AB11" i="1"/>
  <c r="AB8" i="1"/>
  <c r="AA16" i="1"/>
  <c r="AA5" i="1"/>
  <c r="AA14" i="1"/>
  <c r="AA9" i="1"/>
  <c r="AA13" i="1"/>
  <c r="AA3" i="1"/>
  <c r="AA10" i="1"/>
  <c r="AA2" i="1"/>
  <c r="AA12" i="1"/>
  <c r="AA15" i="1"/>
  <c r="AA6" i="1"/>
  <c r="AA7" i="1"/>
  <c r="AA4" i="1"/>
  <c r="AA11" i="1"/>
  <c r="AA8" i="1"/>
  <c r="Z16" i="1"/>
  <c r="Z5" i="1"/>
  <c r="Z14" i="1"/>
  <c r="Z9" i="1"/>
  <c r="Z13" i="1"/>
  <c r="Z3" i="1"/>
  <c r="Z10" i="1"/>
  <c r="Z2" i="1"/>
  <c r="Z12" i="1"/>
  <c r="Z15" i="1"/>
  <c r="Z6" i="1"/>
  <c r="Z7" i="1"/>
  <c r="Z4" i="1"/>
  <c r="Z11" i="1"/>
  <c r="Z8" i="1"/>
  <c r="Y16" i="1"/>
  <c r="Y5" i="1"/>
  <c r="Y14" i="1"/>
  <c r="Y9" i="1"/>
  <c r="Y13" i="1"/>
  <c r="Y3" i="1"/>
  <c r="Y10" i="1"/>
  <c r="G6" i="3"/>
  <c r="Y12" i="1"/>
  <c r="Y15" i="1"/>
  <c r="Y6" i="1"/>
  <c r="Y7" i="1"/>
  <c r="Y4" i="1"/>
  <c r="Y11" i="1"/>
  <c r="Y8" i="1"/>
  <c r="W16" i="1"/>
  <c r="X16" i="1" s="1"/>
  <c r="W5" i="1"/>
  <c r="X5" i="1" s="1"/>
  <c r="W14" i="1"/>
  <c r="X14" i="1" s="1"/>
  <c r="W9" i="1"/>
  <c r="X9" i="1" s="1"/>
  <c r="W13" i="1"/>
  <c r="X13" i="1" s="1"/>
  <c r="W3" i="1"/>
  <c r="X3" i="1" s="1"/>
  <c r="W10" i="1"/>
  <c r="X10" i="1" s="1"/>
  <c r="W2" i="1"/>
  <c r="W12" i="1"/>
  <c r="X12" i="1" s="1"/>
  <c r="W15" i="1"/>
  <c r="X15" i="1" s="1"/>
  <c r="W6" i="1"/>
  <c r="X6" i="1" s="1"/>
  <c r="W7" i="1"/>
  <c r="X7" i="1" s="1"/>
  <c r="W4" i="1"/>
  <c r="X4" i="1" s="1"/>
  <c r="W11" i="1"/>
  <c r="X11" i="1" s="1"/>
  <c r="W8" i="1"/>
  <c r="AH6" i="3" l="1"/>
  <c r="AH5" i="3"/>
  <c r="AH4" i="3"/>
  <c r="AH3" i="3"/>
  <c r="J6" i="1"/>
  <c r="J6" i="3" s="1"/>
  <c r="J4" i="1"/>
  <c r="J4" i="3" s="1"/>
  <c r="J5" i="1"/>
  <c r="J5" i="3" s="1"/>
  <c r="J2" i="3"/>
  <c r="I2" i="1" a="1"/>
  <c r="J7" i="1"/>
  <c r="J7" i="3" s="1"/>
  <c r="J3" i="1"/>
  <c r="J3" i="3" s="1"/>
  <c r="AD5" i="1"/>
  <c r="AD9" i="1"/>
  <c r="AD3" i="1"/>
  <c r="AD12" i="1"/>
  <c r="AD6" i="1"/>
  <c r="AD11" i="1"/>
  <c r="AD16" i="1"/>
  <c r="AD13" i="1"/>
  <c r="AD2" i="1"/>
  <c r="AD7" i="1"/>
  <c r="AD8" i="1"/>
  <c r="AD14" i="1"/>
  <c r="AD10" i="1"/>
  <c r="AD15" i="1"/>
  <c r="AD4" i="1"/>
  <c r="G4" i="3"/>
  <c r="O4" i="3" s="1"/>
  <c r="X8" i="1"/>
  <c r="G5" i="3" s="1"/>
  <c r="M7" i="1" l="1"/>
  <c r="M6" i="1"/>
  <c r="M5" i="1"/>
  <c r="M4" i="1"/>
  <c r="M3" i="1"/>
  <c r="M2" i="1"/>
  <c r="L2" i="3" s="1" a="1"/>
  <c r="I2" i="3" a="1"/>
  <c r="L7" i="1"/>
  <c r="L2" i="1"/>
  <c r="K2" i="3" s="1" a="1"/>
  <c r="L5" i="1"/>
  <c r="L3" i="1"/>
  <c r="L6" i="1"/>
  <c r="L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<sst xmlns="http://schemas.openxmlformats.org/spreadsheetml/2006/main" count="171" uniqueCount="106">
  <si>
    <t>Project ID</t>
  </si>
  <si>
    <t>Project</t>
  </si>
  <si>
    <t>Region</t>
  </si>
  <si>
    <t>Project Manager</t>
  </si>
  <si>
    <t>Start Date</t>
  </si>
  <si>
    <t>End Date</t>
  </si>
  <si>
    <t>Budget ₦M</t>
  </si>
  <si>
    <t>Actual Cost ₦M</t>
  </si>
  <si>
    <t>Revenue ₦M</t>
  </si>
  <si>
    <t>Planned Progress %</t>
  </si>
  <si>
    <t>Actual Progress %</t>
  </si>
  <si>
    <t>Labour Cost ₦M</t>
  </si>
  <si>
    <t>Material Cost ₦M</t>
  </si>
  <si>
    <t>Client Rating</t>
  </si>
  <si>
    <t>Staff</t>
  </si>
  <si>
    <t>P001</t>
  </si>
  <si>
    <t>Lekki Hospital</t>
  </si>
  <si>
    <t>Lagos</t>
  </si>
  <si>
    <t>Adewale</t>
  </si>
  <si>
    <t>P002</t>
  </si>
  <si>
    <t>Abuja Highway</t>
  </si>
  <si>
    <t>Abuja</t>
  </si>
  <si>
    <t>Musa</t>
  </si>
  <si>
    <t>P003</t>
  </si>
  <si>
    <t>VI Bridge</t>
  </si>
  <si>
    <t>Okoro</t>
  </si>
  <si>
    <t>P004</t>
  </si>
  <si>
    <t>Kano School</t>
  </si>
  <si>
    <t>Kano</t>
  </si>
  <si>
    <t>Bello</t>
  </si>
  <si>
    <t>P005</t>
  </si>
  <si>
    <t>Enugu Estate</t>
  </si>
  <si>
    <t>Enugu</t>
  </si>
  <si>
    <t>Obi</t>
  </si>
  <si>
    <t>P006</t>
  </si>
  <si>
    <t>Ikeja Offices</t>
  </si>
  <si>
    <t>James</t>
  </si>
  <si>
    <t>P007</t>
  </si>
  <si>
    <t>Abuja Airport</t>
  </si>
  <si>
    <t>Danladi</t>
  </si>
  <si>
    <t>P008</t>
  </si>
  <si>
    <t>Lekki Mall</t>
  </si>
  <si>
    <t>Udo</t>
  </si>
  <si>
    <t>P009</t>
  </si>
  <si>
    <t>Abuja Stadium</t>
  </si>
  <si>
    <t>King</t>
  </si>
  <si>
    <t>P010</t>
  </si>
  <si>
    <t>Enugu Hotel</t>
  </si>
  <si>
    <t>Paul</t>
  </si>
  <si>
    <t>P011</t>
  </si>
  <si>
    <t>Lagos Estate</t>
  </si>
  <si>
    <t>Adeyemi</t>
  </si>
  <si>
    <t>P012</t>
  </si>
  <si>
    <t>Kano Hospital</t>
  </si>
  <si>
    <t>Garba</t>
  </si>
  <si>
    <t>P013</t>
  </si>
  <si>
    <t>Abuja Mall</t>
  </si>
  <si>
    <t>Ibrahim</t>
  </si>
  <si>
    <t>P014</t>
  </si>
  <si>
    <t>Lekki Towers</t>
  </si>
  <si>
    <t>Emeka</t>
  </si>
  <si>
    <t>P015</t>
  </si>
  <si>
    <t>Enugu Road</t>
  </si>
  <si>
    <t>Chukwu</t>
  </si>
  <si>
    <t>PROFIT</t>
  </si>
  <si>
    <t>PROFIT MARGIN</t>
  </si>
  <si>
    <t>BUDGET VARIANCE (NM)</t>
  </si>
  <si>
    <t>PROGRESS VARIANCE</t>
  </si>
  <si>
    <t>COST EFFICIENCY</t>
  </si>
  <si>
    <t>LABOUR COST %</t>
  </si>
  <si>
    <t>MATERIAL COST %</t>
  </si>
  <si>
    <t>PROJECT STATUS</t>
  </si>
  <si>
    <t>AVERAGE PROFIT MARGIN</t>
  </si>
  <si>
    <t>PROJECTS OVER BUDGET</t>
  </si>
  <si>
    <t>AVERAGE CLIENT RATING</t>
  </si>
  <si>
    <t>ITEMS</t>
  </si>
  <si>
    <t>RESULTS</t>
  </si>
  <si>
    <t>TOTAL REVENUE (NM)</t>
  </si>
  <si>
    <t>TOTAL ACTUAL COST (NM)</t>
  </si>
  <si>
    <t>TOTAL PROFIT (NM)</t>
  </si>
  <si>
    <t>MONTH</t>
  </si>
  <si>
    <t>REVENUE</t>
  </si>
  <si>
    <t>ACTUAL COST</t>
  </si>
  <si>
    <t>UNIQUE MONTH</t>
  </si>
  <si>
    <t>REVENUE BY MONTH</t>
  </si>
  <si>
    <t>ACTUAL COST BY MONTH</t>
  </si>
  <si>
    <t>PROFIT BY MONTH</t>
  </si>
  <si>
    <t>AMOUNT</t>
  </si>
  <si>
    <t>UNIQUE REGIONS</t>
  </si>
  <si>
    <t>REGION</t>
  </si>
  <si>
    <t>PROFIT  ₦M</t>
  </si>
  <si>
    <t>Over-Budget ₦M</t>
  </si>
  <si>
    <t>Cumulative %</t>
  </si>
  <si>
    <t>PERFORMANCE HEAT MAP</t>
  </si>
  <si>
    <t>MARGIN</t>
  </si>
  <si>
    <t>CLIENT RATING</t>
  </si>
  <si>
    <t>ABUJA</t>
  </si>
  <si>
    <t>LAGOS</t>
  </si>
  <si>
    <t>KANO</t>
  </si>
  <si>
    <t>ENUGU</t>
  </si>
  <si>
    <t>SELECTED PROJECT</t>
  </si>
  <si>
    <t>DROP DOWN</t>
  </si>
  <si>
    <t>PROJECT ID</t>
  </si>
  <si>
    <t xml:space="preserve"> ₦M</t>
  </si>
  <si>
    <t xml:space="preserve">                                                      DYNAMIC CHART                                       </t>
  </si>
  <si>
    <t>DYNNAMIC 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</si>
</sst>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"/>
    <numFmt numFmtId="171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2" fontId="0" fillId="0" borderId="0" xfId="0" applyNumberFormat="1"/>
    <xf numFmtId="9" fontId="0" fillId="0" borderId="0" xfId="1" applyFont="1"/>
    <xf numFmtId="0" fontId="2" fillId="0" borderId="0" xfId="1" applyNumberFormat="1" applyFont="1" applyAlignment="1">
      <alignment horizontal="left" wrapText="1"/>
    </xf>
    <xf numFmtId="0" fontId="0" fillId="0" borderId="0" xfId="1" applyNumberFormat="1" applyFont="1"/>
    <xf numFmtId="0" fontId="2" fillId="0" borderId="0" xfId="0" applyFont="1"/>
    <xf numFmtId="9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center" vertical="center"/>
    </xf>
    <xf numFmtId="170" fontId="0" fillId="0" borderId="0" xfId="0" applyNumberFormat="1"/>
    <xf numFmtId="171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Protection="1"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DATA'!$O$1</c:f>
              <c:strCache>
                <c:ptCount val="1"/>
                <c:pt idx="0">
                  <c:v>Revenue ₦M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'PROJECT DATA'!$B$2:$B$16</c:f>
              <c:strCache>
                <c:ptCount val="15"/>
                <c:pt idx="0">
                  <c:v>Abuja Stadium</c:v>
                </c:pt>
                <c:pt idx="1">
                  <c:v>Abuja Airport</c:v>
                </c:pt>
                <c:pt idx="2">
                  <c:v>Lekki Towers</c:v>
                </c:pt>
                <c:pt idx="3">
                  <c:v>VI Bridge</c:v>
                </c:pt>
                <c:pt idx="4">
                  <c:v>Kano Hospital</c:v>
                </c:pt>
                <c:pt idx="5">
                  <c:v>Abuja Mall</c:v>
                </c:pt>
                <c:pt idx="6">
                  <c:v>Lekki Hospital</c:v>
                </c:pt>
                <c:pt idx="7">
                  <c:v>Enugu Estate</c:v>
                </c:pt>
                <c:pt idx="8">
                  <c:v>Lekki Mall</c:v>
                </c:pt>
                <c:pt idx="9">
                  <c:v>Enugu Road</c:v>
                </c:pt>
                <c:pt idx="10">
                  <c:v>Enugu Hotel</c:v>
                </c:pt>
                <c:pt idx="11">
                  <c:v>Ikeja Offices</c:v>
                </c:pt>
                <c:pt idx="12">
                  <c:v>Kano School</c:v>
                </c:pt>
                <c:pt idx="13">
                  <c:v>Lagos Estate</c:v>
                </c:pt>
                <c:pt idx="14">
                  <c:v>Abuja Highway</c:v>
                </c:pt>
              </c:strCache>
            </c:strRef>
          </c:cat>
          <c:val>
            <c:numRef>
              <c:f>'PROJECT DATA'!$O$2:$O$16</c:f>
              <c:numCache>
                <c:formatCode>General</c:formatCode>
                <c:ptCount val="15"/>
                <c:pt idx="0">
                  <c:v>610</c:v>
                </c:pt>
                <c:pt idx="1">
                  <c:v>540</c:v>
                </c:pt>
                <c:pt idx="2">
                  <c:v>510</c:v>
                </c:pt>
                <c:pt idx="3">
                  <c:v>390</c:v>
                </c:pt>
                <c:pt idx="4">
                  <c:v>340</c:v>
                </c:pt>
                <c:pt idx="5">
                  <c:v>460</c:v>
                </c:pt>
                <c:pt idx="6">
                  <c:v>220</c:v>
                </c:pt>
                <c:pt idx="7">
                  <c:v>250</c:v>
                </c:pt>
                <c:pt idx="8">
                  <c:v>210</c:v>
                </c:pt>
                <c:pt idx="9">
                  <c:v>165</c:v>
                </c:pt>
                <c:pt idx="10">
                  <c:v>185</c:v>
                </c:pt>
                <c:pt idx="11">
                  <c:v>350</c:v>
                </c:pt>
                <c:pt idx="12">
                  <c:v>120</c:v>
                </c:pt>
                <c:pt idx="13">
                  <c:v>275</c:v>
                </c:pt>
                <c:pt idx="14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2-49A9-B01B-3ED406BFE7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6689872"/>
        <c:axId val="737533952"/>
      </c:barChart>
      <c:catAx>
        <c:axId val="836689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33952"/>
        <c:crosses val="autoZero"/>
        <c:auto val="1"/>
        <c:lblAlgn val="ctr"/>
        <c:lblOffset val="100"/>
        <c:noMultiLvlLbl val="0"/>
      </c:catAx>
      <c:valAx>
        <c:axId val="73753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₦#,##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68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'PROJECT DATA'!$W$1</c:f>
              <c:strCache>
                <c:ptCount val="1"/>
                <c:pt idx="0">
                  <c:v>PROFIT  ₦M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DATA'!$B$2:$B$16</c:f>
              <c:strCache>
                <c:ptCount val="15"/>
                <c:pt idx="0">
                  <c:v>Abuja Stadium</c:v>
                </c:pt>
                <c:pt idx="1">
                  <c:v>Abuja Airport</c:v>
                </c:pt>
                <c:pt idx="2">
                  <c:v>Lekki Towers</c:v>
                </c:pt>
                <c:pt idx="3">
                  <c:v>VI Bridge</c:v>
                </c:pt>
                <c:pt idx="4">
                  <c:v>Kano Hospital</c:v>
                </c:pt>
                <c:pt idx="5">
                  <c:v>Abuja Mall</c:v>
                </c:pt>
                <c:pt idx="6">
                  <c:v>Lekki Hospital</c:v>
                </c:pt>
                <c:pt idx="7">
                  <c:v>Enugu Estate</c:v>
                </c:pt>
                <c:pt idx="8">
                  <c:v>Lekki Mall</c:v>
                </c:pt>
                <c:pt idx="9">
                  <c:v>Enugu Road</c:v>
                </c:pt>
                <c:pt idx="10">
                  <c:v>Enugu Hotel</c:v>
                </c:pt>
                <c:pt idx="11">
                  <c:v>Ikeja Offices</c:v>
                </c:pt>
                <c:pt idx="12">
                  <c:v>Kano School</c:v>
                </c:pt>
                <c:pt idx="13">
                  <c:v>Lagos Estate</c:v>
                </c:pt>
                <c:pt idx="14">
                  <c:v>Abuja Highway</c:v>
                </c:pt>
              </c:strCache>
            </c:strRef>
          </c:cat>
          <c:val>
            <c:numRef>
              <c:f>'PROJECT DATA'!$W$2:$W$16</c:f>
              <c:numCache>
                <c:formatCode>General</c:formatCode>
                <c:ptCount val="15"/>
                <c:pt idx="0">
                  <c:v>125</c:v>
                </c:pt>
                <c:pt idx="1">
                  <c:v>110</c:v>
                </c:pt>
                <c:pt idx="2">
                  <c:v>110</c:v>
                </c:pt>
                <c:pt idx="3">
                  <c:v>85</c:v>
                </c:pt>
                <c:pt idx="4">
                  <c:v>80</c:v>
                </c:pt>
                <c:pt idx="5">
                  <c:v>65</c:v>
                </c:pt>
                <c:pt idx="6">
                  <c:v>55</c:v>
                </c:pt>
                <c:pt idx="7">
                  <c:v>52</c:v>
                </c:pt>
                <c:pt idx="8">
                  <c:v>50</c:v>
                </c:pt>
                <c:pt idx="9">
                  <c:v>47</c:v>
                </c:pt>
                <c:pt idx="10">
                  <c:v>43</c:v>
                </c:pt>
                <c:pt idx="11">
                  <c:v>40</c:v>
                </c:pt>
                <c:pt idx="12">
                  <c:v>32</c:v>
                </c:pt>
                <c:pt idx="13">
                  <c:v>30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5-4924-A786-09B273CA3C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64955856"/>
        <c:axId val="737429792"/>
      </c:barChart>
      <c:catAx>
        <c:axId val="864955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29792"/>
        <c:crosses val="autoZero"/>
        <c:auto val="1"/>
        <c:lblAlgn val="ctr"/>
        <c:lblOffset val="100"/>
        <c:noMultiLvlLbl val="0"/>
      </c:catAx>
      <c:valAx>
        <c:axId val="737429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₦#,##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95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ANALYSIS!$J$1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ANALYSIS!$I$2:$I$7</c:f>
              <c:strCache>
                <c:ptCount val="6"/>
                <c:pt idx="0">
                  <c:v>March</c:v>
                </c:pt>
                <c:pt idx="1">
                  <c:v>January</c:v>
                </c:pt>
                <c:pt idx="2">
                  <c:v>February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ANALYSIS!$J$2:$J$7</c:f>
              <c:numCache>
                <c:formatCode>General</c:formatCode>
                <c:ptCount val="6"/>
                <c:pt idx="0">
                  <c:v>1240</c:v>
                </c:pt>
                <c:pt idx="1">
                  <c:v>955</c:v>
                </c:pt>
                <c:pt idx="2">
                  <c:v>695</c:v>
                </c:pt>
                <c:pt idx="3">
                  <c:v>590</c:v>
                </c:pt>
                <c:pt idx="4">
                  <c:v>420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2-49FA-87E3-062FD05B2BEB}"/>
            </c:ext>
          </c:extLst>
        </c:ser>
        <c:ser>
          <c:idx val="1"/>
          <c:order val="1"/>
          <c:tx>
            <c:strRef>
              <c:f>ANALYSIS!$K$1</c:f>
              <c:strCache>
                <c:ptCount val="1"/>
                <c:pt idx="0">
                  <c:v>ACTUAL COST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ANALYSIS!$I$2:$I$7</c:f>
              <c:strCache>
                <c:ptCount val="6"/>
                <c:pt idx="0">
                  <c:v>March</c:v>
                </c:pt>
                <c:pt idx="1">
                  <c:v>January</c:v>
                </c:pt>
                <c:pt idx="2">
                  <c:v>February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ANALYSIS!$K$2:$K$7</c:f>
              <c:numCache>
                <c:formatCode>General</c:formatCode>
                <c:ptCount val="6"/>
                <c:pt idx="0">
                  <c:v>485</c:v>
                </c:pt>
                <c:pt idx="1">
                  <c:v>430</c:v>
                </c:pt>
                <c:pt idx="2">
                  <c:v>400</c:v>
                </c:pt>
                <c:pt idx="3">
                  <c:v>305</c:v>
                </c:pt>
                <c:pt idx="4">
                  <c:v>260</c:v>
                </c:pt>
                <c:pt idx="5">
                  <c:v>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2-49FA-87E3-062FD05B2BEB}"/>
            </c:ext>
          </c:extLst>
        </c:ser>
        <c:ser>
          <c:idx val="2"/>
          <c:order val="2"/>
          <c:tx>
            <c:strRef>
              <c:f>ANALYSIS!$L$1</c:f>
              <c:strCache>
                <c:ptCount val="1"/>
                <c:pt idx="0">
                  <c:v>PROFIT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ANALYSIS!$I$2:$I$7</c:f>
              <c:strCache>
                <c:ptCount val="6"/>
                <c:pt idx="0">
                  <c:v>March</c:v>
                </c:pt>
                <c:pt idx="1">
                  <c:v>January</c:v>
                </c:pt>
                <c:pt idx="2">
                  <c:v>February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ANALYSIS!$L$2:$L$7</c:f>
              <c:numCache>
                <c:formatCode>General</c:formatCode>
                <c:ptCount val="6"/>
                <c:pt idx="0">
                  <c:v>125</c:v>
                </c:pt>
                <c:pt idx="1">
                  <c:v>110</c:v>
                </c:pt>
                <c:pt idx="2">
                  <c:v>110</c:v>
                </c:pt>
                <c:pt idx="3">
                  <c:v>85</c:v>
                </c:pt>
                <c:pt idx="4">
                  <c:v>80</c:v>
                </c:pt>
                <c:pt idx="5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2-49FA-87E3-062FD05B2B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3953376"/>
        <c:axId val="923528192"/>
      </c:lineChart>
      <c:catAx>
        <c:axId val="823953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28192"/>
        <c:crosses val="autoZero"/>
        <c:auto val="1"/>
        <c:lblAlgn val="ctr"/>
        <c:lblOffset val="100"/>
        <c:noMultiLvlLbl val="0"/>
      </c:catAx>
      <c:valAx>
        <c:axId val="9235281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2395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V PROFIT MARGIN</a:t>
            </a:r>
          </a:p>
        </c:rich>
      </c:tx>
      <c:layout>
        <c:manualLayout>
          <c:xMode val="edge"/>
          <c:yMode val="edge"/>
          <c:x val="0.2840901137357830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DATA'!$O$1</c:f>
              <c:strCache>
                <c:ptCount val="1"/>
                <c:pt idx="0">
                  <c:v>Revenue ₦M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'PROJECT DATA'!$O$2:$O$16</c:f>
              <c:numCache>
                <c:formatCode>General</c:formatCode>
                <c:ptCount val="15"/>
                <c:pt idx="0">
                  <c:v>610</c:v>
                </c:pt>
                <c:pt idx="1">
                  <c:v>540</c:v>
                </c:pt>
                <c:pt idx="2">
                  <c:v>510</c:v>
                </c:pt>
                <c:pt idx="3">
                  <c:v>390</c:v>
                </c:pt>
                <c:pt idx="4">
                  <c:v>340</c:v>
                </c:pt>
                <c:pt idx="5">
                  <c:v>460</c:v>
                </c:pt>
                <c:pt idx="6">
                  <c:v>220</c:v>
                </c:pt>
                <c:pt idx="7">
                  <c:v>250</c:v>
                </c:pt>
                <c:pt idx="8">
                  <c:v>210</c:v>
                </c:pt>
                <c:pt idx="9">
                  <c:v>165</c:v>
                </c:pt>
                <c:pt idx="10">
                  <c:v>185</c:v>
                </c:pt>
                <c:pt idx="11">
                  <c:v>350</c:v>
                </c:pt>
                <c:pt idx="12">
                  <c:v>120</c:v>
                </c:pt>
                <c:pt idx="13">
                  <c:v>275</c:v>
                </c:pt>
                <c:pt idx="14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4-4776-9F26-18E84DCBFA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1011664"/>
        <c:axId val="737430272"/>
      </c:barChart>
      <c:lineChart>
        <c:grouping val="standard"/>
        <c:varyColors val="0"/>
        <c:ser>
          <c:idx val="1"/>
          <c:order val="1"/>
          <c:tx>
            <c:strRef>
              <c:f>'PROJECT DATA'!$X$1</c:f>
              <c:strCache>
                <c:ptCount val="1"/>
                <c:pt idx="0">
                  <c:v>PROFIT MARGIN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8562554680664942E-2"/>
                  <c:y val="-0.2245024059492563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24-4776-9F26-18E84DCBFA73}"/>
                </c:ext>
              </c:extLst>
            </c:dLbl>
            <c:dLbl>
              <c:idx val="1"/>
              <c:layout>
                <c:manualLayout>
                  <c:x val="-4.5784776902887139E-2"/>
                  <c:y val="-0.164317220764071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24-4776-9F26-18E84DCBFA73}"/>
                </c:ext>
              </c:extLst>
            </c:dLbl>
            <c:dLbl>
              <c:idx val="5"/>
              <c:layout>
                <c:manualLayout>
                  <c:x val="-4.5784776902887139E-2"/>
                  <c:y val="-0.201354257801108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24-4776-9F26-18E84DCBFA73}"/>
                </c:ext>
              </c:extLst>
            </c:dLbl>
            <c:dLbl>
              <c:idx val="11"/>
              <c:layout>
                <c:manualLayout>
                  <c:x val="-4.5784776902887139E-2"/>
                  <c:y val="-0.1967246281714785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24-4776-9F26-18E84DCBFA73}"/>
                </c:ext>
              </c:extLst>
            </c:dLbl>
            <c:dLbl>
              <c:idx val="13"/>
              <c:layout>
                <c:manualLayout>
                  <c:x val="-9.5784776902887142E-2"/>
                  <c:y val="-3.4687591134441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24-4776-9F26-18E84DCBFA73}"/>
                </c:ext>
              </c:extLst>
            </c:dLbl>
            <c:dLbl>
              <c:idx val="14"/>
              <c:layout>
                <c:manualLayout>
                  <c:x val="-4.5006999125109359E-2"/>
                  <c:y val="-0.219872776319626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24-4776-9F26-18E84DCBFA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'PROJECT DATA'!$X$2:$X$16</c:f>
              <c:numCache>
                <c:formatCode>0%</c:formatCode>
                <c:ptCount val="15"/>
                <c:pt idx="0">
                  <c:v>0.20491803278688525</c:v>
                </c:pt>
                <c:pt idx="1">
                  <c:v>0.20370370370370369</c:v>
                </c:pt>
                <c:pt idx="2">
                  <c:v>0.21568627450980393</c:v>
                </c:pt>
                <c:pt idx="3">
                  <c:v>0.21794871794871795</c:v>
                </c:pt>
                <c:pt idx="4">
                  <c:v>0.23529411764705882</c:v>
                </c:pt>
                <c:pt idx="5">
                  <c:v>0.14130434782608695</c:v>
                </c:pt>
                <c:pt idx="6">
                  <c:v>0.25</c:v>
                </c:pt>
                <c:pt idx="7">
                  <c:v>0.20799999999999999</c:v>
                </c:pt>
                <c:pt idx="8">
                  <c:v>0.23809523809523808</c:v>
                </c:pt>
                <c:pt idx="9">
                  <c:v>0.28484848484848485</c:v>
                </c:pt>
                <c:pt idx="10">
                  <c:v>0.23243243243243245</c:v>
                </c:pt>
                <c:pt idx="11">
                  <c:v>0.11428571428571428</c:v>
                </c:pt>
                <c:pt idx="12">
                  <c:v>0.26666666666666666</c:v>
                </c:pt>
                <c:pt idx="13">
                  <c:v>0.10909090909090909</c:v>
                </c:pt>
                <c:pt idx="14">
                  <c:v>5.2631578947368418E-2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624-4776-9F26-18E84DCBFA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7888320"/>
        <c:axId val="737444672"/>
      </c:lineChart>
      <c:catAx>
        <c:axId val="931011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30272"/>
        <c:crosses val="autoZero"/>
        <c:auto val="1"/>
        <c:lblAlgn val="ctr"/>
        <c:lblOffset val="100"/>
        <c:noMultiLvlLbl val="0"/>
      </c:catAx>
      <c:valAx>
        <c:axId val="73743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₦#,##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011664"/>
        <c:crosses val="autoZero"/>
        <c:crossBetween val="between"/>
      </c:valAx>
      <c:valAx>
        <c:axId val="7374446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MARGIN </a:t>
                </a:r>
              </a:p>
            </c:rich>
          </c:tx>
          <c:layout>
            <c:manualLayout>
              <c:xMode val="edge"/>
              <c:yMode val="edge"/>
              <c:x val="0.92443044619422576"/>
              <c:y val="0.38884660250801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888320"/>
        <c:crosses val="max"/>
        <c:crossBetween val="between"/>
      </c:valAx>
      <c:catAx>
        <c:axId val="927888320"/>
        <c:scaling>
          <c:orientation val="minMax"/>
        </c:scaling>
        <c:delete val="1"/>
        <c:axPos val="b"/>
        <c:majorTickMark val="none"/>
        <c:minorTickMark val="none"/>
        <c:tickLblPos val="nextTo"/>
        <c:crossAx val="7374446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STAFF</a:t>
            </a:r>
            <a:r>
              <a:rPr lang="en-US" baseline="0"/>
              <a:t> V PROJECT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'PROJECT DATA'!$U$1</c:f>
              <c:strCache>
                <c:ptCount val="1"/>
                <c:pt idx="0">
                  <c:v>Staff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831714785651793"/>
                  <c:y val="-0.136825969670457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'PROJECT DATA'!$O$2:$O$16</c:f>
              <c:numCache>
                <c:formatCode>General</c:formatCode>
                <c:ptCount val="15"/>
                <c:pt idx="0">
                  <c:v>610</c:v>
                </c:pt>
                <c:pt idx="1">
                  <c:v>540</c:v>
                </c:pt>
                <c:pt idx="2">
                  <c:v>510</c:v>
                </c:pt>
                <c:pt idx="3">
                  <c:v>390</c:v>
                </c:pt>
                <c:pt idx="4">
                  <c:v>340</c:v>
                </c:pt>
                <c:pt idx="5">
                  <c:v>460</c:v>
                </c:pt>
                <c:pt idx="6">
                  <c:v>220</c:v>
                </c:pt>
                <c:pt idx="7">
                  <c:v>250</c:v>
                </c:pt>
                <c:pt idx="8">
                  <c:v>210</c:v>
                </c:pt>
                <c:pt idx="9">
                  <c:v>165</c:v>
                </c:pt>
                <c:pt idx="10">
                  <c:v>185</c:v>
                </c:pt>
                <c:pt idx="11">
                  <c:v>350</c:v>
                </c:pt>
                <c:pt idx="12">
                  <c:v>120</c:v>
                </c:pt>
                <c:pt idx="13">
                  <c:v>275</c:v>
                </c:pt>
                <c:pt idx="14">
                  <c:v>285</c:v>
                </c:pt>
              </c:numCache>
            </c:numRef>
          </c:xVal>
          <c:yVal>
            <c:numRef>
              <c:f>'PROJECT DATA'!$U$2:$U$16</c:f>
              <c:numCache>
                <c:formatCode>General</c:formatCode>
                <c:ptCount val="15"/>
                <c:pt idx="0">
                  <c:v>105</c:v>
                </c:pt>
                <c:pt idx="1">
                  <c:v>90</c:v>
                </c:pt>
                <c:pt idx="2">
                  <c:v>82</c:v>
                </c:pt>
                <c:pt idx="3">
                  <c:v>65</c:v>
                </c:pt>
                <c:pt idx="4">
                  <c:v>60</c:v>
                </c:pt>
                <c:pt idx="5">
                  <c:v>80</c:v>
                </c:pt>
                <c:pt idx="6">
                  <c:v>42</c:v>
                </c:pt>
                <c:pt idx="7">
                  <c:v>50</c:v>
                </c:pt>
                <c:pt idx="8">
                  <c:v>38</c:v>
                </c:pt>
                <c:pt idx="9">
                  <c:v>28</c:v>
                </c:pt>
                <c:pt idx="10">
                  <c:v>35</c:v>
                </c:pt>
                <c:pt idx="11">
                  <c:v>72</c:v>
                </c:pt>
                <c:pt idx="12">
                  <c:v>30</c:v>
                </c:pt>
                <c:pt idx="13">
                  <c:v>55</c:v>
                </c:pt>
                <c:pt idx="14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D2-4017-8AD6-DBF479966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248464"/>
        <c:axId val="565201344"/>
      </c:scatterChart>
      <c:valAx>
        <c:axId val="92624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₦#,##0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01344"/>
        <c:crosses val="autoZero"/>
        <c:crossBetween val="midCat"/>
      </c:valAx>
      <c:valAx>
        <c:axId val="5652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24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</a:t>
            </a:r>
            <a:r>
              <a:rPr lang="en-US" baseline="0"/>
              <a:t> COST V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'PROJECT DATA'!$W$1</c:f>
              <c:strCache>
                <c:ptCount val="1"/>
                <c:pt idx="0">
                  <c:v>PROFIT  ₦M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038888888888889E-2"/>
                  <c:y val="6.7164260717410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F-4195-87B7-AD527F4CA692}"/>
                </c:ext>
              </c:extLst>
            </c:dLbl>
            <c:dLbl>
              <c:idx val="6"/>
              <c:layout>
                <c:manualLayout>
                  <c:x val="-1.1277777777777777E-2"/>
                  <c:y val="-7.63542578011081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7F-4195-87B7-AD527F4CA692}"/>
                </c:ext>
              </c:extLst>
            </c:dLbl>
            <c:dLbl>
              <c:idx val="7"/>
              <c:layout>
                <c:manualLayout>
                  <c:x val="2.2055555555555554E-2"/>
                  <c:y val="-6.24653689122193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F-4195-87B7-AD527F4CA692}"/>
                </c:ext>
              </c:extLst>
            </c:dLbl>
            <c:dLbl>
              <c:idx val="8"/>
              <c:layout>
                <c:manualLayout>
                  <c:x val="-4.738888888888889E-2"/>
                  <c:y val="-0.136539442986293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7F-4195-87B7-AD527F4CA6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146622043074993"/>
                  <c:y val="-0.18732028288130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'PROJECT DATA'!$N$2:$N$16</c:f>
              <c:numCache>
                <c:formatCode>General</c:formatCode>
                <c:ptCount val="15"/>
                <c:pt idx="0">
                  <c:v>485</c:v>
                </c:pt>
                <c:pt idx="1">
                  <c:v>430</c:v>
                </c:pt>
                <c:pt idx="2">
                  <c:v>400</c:v>
                </c:pt>
                <c:pt idx="3">
                  <c:v>305</c:v>
                </c:pt>
                <c:pt idx="4">
                  <c:v>260</c:v>
                </c:pt>
                <c:pt idx="5">
                  <c:v>395</c:v>
                </c:pt>
                <c:pt idx="6">
                  <c:v>165</c:v>
                </c:pt>
                <c:pt idx="7">
                  <c:v>198</c:v>
                </c:pt>
                <c:pt idx="8">
                  <c:v>160</c:v>
                </c:pt>
                <c:pt idx="9">
                  <c:v>118</c:v>
                </c:pt>
                <c:pt idx="10">
                  <c:v>142</c:v>
                </c:pt>
                <c:pt idx="11">
                  <c:v>310</c:v>
                </c:pt>
                <c:pt idx="12">
                  <c:v>88</c:v>
                </c:pt>
                <c:pt idx="13">
                  <c:v>245</c:v>
                </c:pt>
                <c:pt idx="14">
                  <c:v>270</c:v>
                </c:pt>
              </c:numCache>
            </c:numRef>
          </c:xVal>
          <c:yVal>
            <c:numRef>
              <c:f>'PROJECT DATA'!$W$2:$W$16</c:f>
              <c:numCache>
                <c:formatCode>General</c:formatCode>
                <c:ptCount val="15"/>
                <c:pt idx="0">
                  <c:v>125</c:v>
                </c:pt>
                <c:pt idx="1">
                  <c:v>110</c:v>
                </c:pt>
                <c:pt idx="2">
                  <c:v>110</c:v>
                </c:pt>
                <c:pt idx="3">
                  <c:v>85</c:v>
                </c:pt>
                <c:pt idx="4">
                  <c:v>80</c:v>
                </c:pt>
                <c:pt idx="5">
                  <c:v>65</c:v>
                </c:pt>
                <c:pt idx="6">
                  <c:v>55</c:v>
                </c:pt>
                <c:pt idx="7">
                  <c:v>52</c:v>
                </c:pt>
                <c:pt idx="8">
                  <c:v>50</c:v>
                </c:pt>
                <c:pt idx="9">
                  <c:v>47</c:v>
                </c:pt>
                <c:pt idx="10">
                  <c:v>43</c:v>
                </c:pt>
                <c:pt idx="11">
                  <c:v>40</c:v>
                </c:pt>
                <c:pt idx="12">
                  <c:v>32</c:v>
                </c:pt>
                <c:pt idx="13">
                  <c:v>30</c:v>
                </c:pt>
                <c:pt idx="1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7F-4195-87B7-AD527F4CA6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26252176"/>
        <c:axId val="923533952"/>
      </c:scatterChart>
      <c:valAx>
        <c:axId val="92625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COST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₦#,##0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33952"/>
        <c:crosses val="autoZero"/>
        <c:crossBetween val="midCat"/>
      </c:valAx>
      <c:valAx>
        <c:axId val="92353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₦#,##0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25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Project Cost vs Revenue — Staff Size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1"/>
          <c:order val="1"/>
          <c:tx>
            <c:v>ACTUAL COST V REVENUE V STAFF</c:v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6.0235783027121612E-2"/>
                  <c:y val="0.162037037037037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64-47F3-9A60-0811277D72AE}"/>
                </c:ext>
              </c:extLst>
            </c:dLbl>
            <c:dLbl>
              <c:idx val="3"/>
              <c:layout>
                <c:manualLayout>
                  <c:x val="-0.13242475940507437"/>
                  <c:y val="-9.72222222222222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64-47F3-9A60-0811277D72AE}"/>
                </c:ext>
              </c:extLst>
            </c:dLbl>
            <c:dLbl>
              <c:idx val="4"/>
              <c:layout>
                <c:manualLayout>
                  <c:x val="-0.14175612423447073"/>
                  <c:y val="-8.3333333333333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64-47F3-9A60-0811277D72AE}"/>
                </c:ext>
              </c:extLst>
            </c:dLbl>
            <c:dLbl>
              <c:idx val="5"/>
              <c:layout>
                <c:manualLayout>
                  <c:x val="-0.19572156605424321"/>
                  <c:y val="-8.3333333333333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64-47F3-9A60-0811277D72AE}"/>
                </c:ext>
              </c:extLst>
            </c:dLbl>
            <c:dLbl>
              <c:idx val="8"/>
              <c:layout>
                <c:manualLayout>
                  <c:x val="-2.7300524934383202E-2"/>
                  <c:y val="0.1064814814814814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64-47F3-9A60-0811277D72AE}"/>
                </c:ext>
              </c:extLst>
            </c:dLbl>
            <c:dLbl>
              <c:idx val="10"/>
              <c:layout>
                <c:manualLayout>
                  <c:x val="-0.10645866141732284"/>
                  <c:y val="-0.120370370370370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64-47F3-9A60-0811277D72AE}"/>
                </c:ext>
              </c:extLst>
            </c:dLbl>
            <c:dLbl>
              <c:idx val="11"/>
              <c:layout>
                <c:manualLayout>
                  <c:x val="-3.4805336832895988E-2"/>
                  <c:y val="0.152777777777777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964-47F3-9A60-0811277D72AE}"/>
                </c:ext>
              </c:extLst>
            </c:dLbl>
            <c:dLbl>
              <c:idx val="14"/>
              <c:layout>
                <c:manualLayout>
                  <c:x val="-9.3801181102362199E-2"/>
                  <c:y val="0.12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64-47F3-9A60-0811277D72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ANALYSIS!$R$2:$R$16</c:f>
              <c:numCache>
                <c:formatCode>General</c:formatCode>
                <c:ptCount val="15"/>
                <c:pt idx="0">
                  <c:v>485</c:v>
                </c:pt>
                <c:pt idx="1">
                  <c:v>430</c:v>
                </c:pt>
                <c:pt idx="2">
                  <c:v>400</c:v>
                </c:pt>
                <c:pt idx="3">
                  <c:v>305</c:v>
                </c:pt>
                <c:pt idx="4">
                  <c:v>260</c:v>
                </c:pt>
                <c:pt idx="5">
                  <c:v>395</c:v>
                </c:pt>
                <c:pt idx="6">
                  <c:v>165</c:v>
                </c:pt>
                <c:pt idx="7">
                  <c:v>198</c:v>
                </c:pt>
                <c:pt idx="8">
                  <c:v>160</c:v>
                </c:pt>
                <c:pt idx="9">
                  <c:v>118</c:v>
                </c:pt>
                <c:pt idx="10">
                  <c:v>142</c:v>
                </c:pt>
                <c:pt idx="11">
                  <c:v>310</c:v>
                </c:pt>
                <c:pt idx="12">
                  <c:v>88</c:v>
                </c:pt>
                <c:pt idx="13">
                  <c:v>245</c:v>
                </c:pt>
                <c:pt idx="14">
                  <c:v>270</c:v>
                </c:pt>
              </c:numCache>
            </c:numRef>
          </c:xVal>
          <c:yVal>
            <c:numRef>
              <c:f>ANALYSIS!$S$2:$S$16</c:f>
              <c:numCache>
                <c:formatCode>General</c:formatCode>
                <c:ptCount val="15"/>
                <c:pt idx="0">
                  <c:v>610</c:v>
                </c:pt>
                <c:pt idx="1">
                  <c:v>540</c:v>
                </c:pt>
                <c:pt idx="2">
                  <c:v>510</c:v>
                </c:pt>
                <c:pt idx="3">
                  <c:v>390</c:v>
                </c:pt>
                <c:pt idx="4">
                  <c:v>340</c:v>
                </c:pt>
                <c:pt idx="5">
                  <c:v>460</c:v>
                </c:pt>
                <c:pt idx="6">
                  <c:v>220</c:v>
                </c:pt>
                <c:pt idx="7">
                  <c:v>250</c:v>
                </c:pt>
                <c:pt idx="8">
                  <c:v>210</c:v>
                </c:pt>
                <c:pt idx="9">
                  <c:v>165</c:v>
                </c:pt>
                <c:pt idx="10">
                  <c:v>185</c:v>
                </c:pt>
                <c:pt idx="11">
                  <c:v>350</c:v>
                </c:pt>
                <c:pt idx="12">
                  <c:v>120</c:v>
                </c:pt>
                <c:pt idx="13">
                  <c:v>275</c:v>
                </c:pt>
                <c:pt idx="14">
                  <c:v>285</c:v>
                </c:pt>
              </c:numCache>
            </c:numRef>
          </c:yVal>
          <c:bubbleSize>
            <c:numRef>
              <c:f>ANALYSIS!$T$2:$T$16</c:f>
              <c:numCache>
                <c:formatCode>General</c:formatCode>
                <c:ptCount val="15"/>
                <c:pt idx="0">
                  <c:v>105</c:v>
                </c:pt>
                <c:pt idx="1">
                  <c:v>90</c:v>
                </c:pt>
                <c:pt idx="2">
                  <c:v>82</c:v>
                </c:pt>
                <c:pt idx="3">
                  <c:v>65</c:v>
                </c:pt>
                <c:pt idx="4">
                  <c:v>60</c:v>
                </c:pt>
                <c:pt idx="5">
                  <c:v>80</c:v>
                </c:pt>
                <c:pt idx="6">
                  <c:v>42</c:v>
                </c:pt>
                <c:pt idx="7">
                  <c:v>50</c:v>
                </c:pt>
                <c:pt idx="8">
                  <c:v>38</c:v>
                </c:pt>
                <c:pt idx="9">
                  <c:v>28</c:v>
                </c:pt>
                <c:pt idx="10">
                  <c:v>35</c:v>
                </c:pt>
                <c:pt idx="11">
                  <c:v>72</c:v>
                </c:pt>
                <c:pt idx="12">
                  <c:v>30</c:v>
                </c:pt>
                <c:pt idx="13">
                  <c:v>55</c:v>
                </c:pt>
                <c:pt idx="14">
                  <c:v>58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8-6964-47F3-9A60-0811277D72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926274448"/>
        <c:axId val="737438912"/>
        <c:extLst>
          <c:ext xmlns:c15="http://schemas.microsoft.com/office/drawing/2012/chart" uri="{02D57815-91ED-43cb-92C2-25804820EDAC}">
            <c15:filteredBubbl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ANALYSIS!$S$1</c15:sqref>
                        </c15:formulaRef>
                      </c:ext>
                    </c:extLst>
                    <c:strCache>
                      <c:ptCount val="1"/>
                      <c:pt idx="0">
                        <c:v>Revenue ₦M</c:v>
                      </c:pt>
                    </c:strCache>
                  </c:strRef>
                </c:tx>
                <c:spPr>
                  <a:solidFill>
                    <a:schemeClr val="accent1">
                      <a:alpha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ANALYSIS!$R$2:$R$16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485</c:v>
                      </c:pt>
                      <c:pt idx="1">
                        <c:v>430</c:v>
                      </c:pt>
                      <c:pt idx="2">
                        <c:v>400</c:v>
                      </c:pt>
                      <c:pt idx="3">
                        <c:v>305</c:v>
                      </c:pt>
                      <c:pt idx="4">
                        <c:v>260</c:v>
                      </c:pt>
                      <c:pt idx="5">
                        <c:v>395</c:v>
                      </c:pt>
                      <c:pt idx="6">
                        <c:v>165</c:v>
                      </c:pt>
                      <c:pt idx="7">
                        <c:v>198</c:v>
                      </c:pt>
                      <c:pt idx="8">
                        <c:v>160</c:v>
                      </c:pt>
                      <c:pt idx="9">
                        <c:v>118</c:v>
                      </c:pt>
                      <c:pt idx="10">
                        <c:v>142</c:v>
                      </c:pt>
                      <c:pt idx="11">
                        <c:v>310</c:v>
                      </c:pt>
                      <c:pt idx="12">
                        <c:v>88</c:v>
                      </c:pt>
                      <c:pt idx="13">
                        <c:v>245</c:v>
                      </c:pt>
                      <c:pt idx="14">
                        <c:v>270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ANALYSIS!$S$2:$S$16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610</c:v>
                      </c:pt>
                      <c:pt idx="1">
                        <c:v>540</c:v>
                      </c:pt>
                      <c:pt idx="2">
                        <c:v>510</c:v>
                      </c:pt>
                      <c:pt idx="3">
                        <c:v>390</c:v>
                      </c:pt>
                      <c:pt idx="4">
                        <c:v>340</c:v>
                      </c:pt>
                      <c:pt idx="5">
                        <c:v>460</c:v>
                      </c:pt>
                      <c:pt idx="6">
                        <c:v>220</c:v>
                      </c:pt>
                      <c:pt idx="7">
                        <c:v>250</c:v>
                      </c:pt>
                      <c:pt idx="8">
                        <c:v>210</c:v>
                      </c:pt>
                      <c:pt idx="9">
                        <c:v>165</c:v>
                      </c:pt>
                      <c:pt idx="10">
                        <c:v>185</c:v>
                      </c:pt>
                      <c:pt idx="11">
                        <c:v>350</c:v>
                      </c:pt>
                      <c:pt idx="12">
                        <c:v>120</c:v>
                      </c:pt>
                      <c:pt idx="13">
                        <c:v>275</c:v>
                      </c:pt>
                      <c:pt idx="14">
                        <c:v>285</c:v>
                      </c:pt>
                    </c:numCache>
                  </c:numRef>
                </c:yVal>
                <c:bubbleSize>
                  <c:numRef>
                    <c:extLst>
                      <c:ext uri="{02D57815-91ED-43cb-92C2-25804820EDAC}">
                        <c15:formulaRef>
                          <c15:sqref>ANALYSIS!$T$2:$T$16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105</c:v>
                      </c:pt>
                      <c:pt idx="1">
                        <c:v>90</c:v>
                      </c:pt>
                      <c:pt idx="2">
                        <c:v>82</c:v>
                      </c:pt>
                      <c:pt idx="3">
                        <c:v>65</c:v>
                      </c:pt>
                      <c:pt idx="4">
                        <c:v>60</c:v>
                      </c:pt>
                      <c:pt idx="5">
                        <c:v>80</c:v>
                      </c:pt>
                      <c:pt idx="6">
                        <c:v>42</c:v>
                      </c:pt>
                      <c:pt idx="7">
                        <c:v>50</c:v>
                      </c:pt>
                      <c:pt idx="8">
                        <c:v>38</c:v>
                      </c:pt>
                      <c:pt idx="9">
                        <c:v>28</c:v>
                      </c:pt>
                      <c:pt idx="10">
                        <c:v>35</c:v>
                      </c:pt>
                      <c:pt idx="11">
                        <c:v>72</c:v>
                      </c:pt>
                      <c:pt idx="12">
                        <c:v>30</c:v>
                      </c:pt>
                      <c:pt idx="13">
                        <c:v>55</c:v>
                      </c:pt>
                      <c:pt idx="14">
                        <c:v>58</c:v>
                      </c:pt>
                    </c:numCache>
                  </c:numRef>
                </c:bubbleSize>
                <c:bubble3D val="0"/>
                <c:extLst>
                  <c:ext xmlns:c16="http://schemas.microsoft.com/office/drawing/2014/chart" uri="{C3380CC4-5D6E-409C-BE32-E72D297353CC}">
                    <c16:uniqueId val="{00000009-6964-47F3-9A60-0811277D72AE}"/>
                  </c:ext>
                </c:extLst>
              </c15:ser>
            </c15:filteredBubbleSeries>
          </c:ext>
        </c:extLst>
      </c:bubbleChart>
      <c:valAx>
        <c:axId val="9262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Cost ₦M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₦#,##0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38912"/>
        <c:crosses val="autoZero"/>
        <c:crossBetween val="midCat"/>
      </c:valAx>
      <c:valAx>
        <c:axId val="73743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₦M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₦#,##0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27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ANALYSIS!$W$1</c:f>
              <c:strCache>
                <c:ptCount val="1"/>
                <c:pt idx="0">
                  <c:v>Revenue ₦M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3F-4340-A1DA-4D381A879333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3F-4340-A1DA-4D381A879333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3F-4340-A1DA-4D381A879333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3F-4340-A1DA-4D381A8793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ANALYSIS!$V$2:$V$5</c:f>
              <c:strCache>
                <c:ptCount val="4"/>
                <c:pt idx="0">
                  <c:v>Abuja</c:v>
                </c:pt>
                <c:pt idx="1">
                  <c:v>Lagos</c:v>
                </c:pt>
                <c:pt idx="2">
                  <c:v>Kano</c:v>
                </c:pt>
                <c:pt idx="3">
                  <c:v>Enugu</c:v>
                </c:pt>
              </c:strCache>
            </c:strRef>
          </c:cat>
          <c:val>
            <c:numRef>
              <c:f>ANALYSIS!$W$2:$W$5</c:f>
              <c:numCache>
                <c:formatCode>General</c:formatCode>
                <c:ptCount val="4"/>
                <c:pt idx="0">
                  <c:v>1895</c:v>
                </c:pt>
                <c:pt idx="1">
                  <c:v>1955</c:v>
                </c:pt>
                <c:pt idx="2">
                  <c:v>460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3F-4340-A1DA-4D381A87933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PROBLEMS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ANALYSIS!$Z$1</c:f>
              <c:strCache>
                <c:ptCount val="1"/>
                <c:pt idx="0">
                  <c:v>Over-Budget ₦M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ANALYSIS!$Y$2:$Y$5</c:f>
              <c:strCache>
                <c:ptCount val="4"/>
                <c:pt idx="0">
                  <c:v>Abuja Highway</c:v>
                </c:pt>
                <c:pt idx="1">
                  <c:v>Ikeja Offices</c:v>
                </c:pt>
                <c:pt idx="2">
                  <c:v>Lagos Estate</c:v>
                </c:pt>
                <c:pt idx="3">
                  <c:v>Abuja Mall</c:v>
                </c:pt>
              </c:strCache>
            </c:strRef>
          </c:cat>
          <c:val>
            <c:numRef>
              <c:f>ANALYSIS!$Z$2:$Z$5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15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1-40A3-8350-49FF9BF9A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2487663"/>
        <c:axId val="1687436767"/>
      </c:barChart>
      <c:lineChart>
        <c:grouping val="standard"/>
        <c:varyColors val="0"/>
        <c:ser>
          <c:idx val="1"/>
          <c:order val="1"/>
          <c:tx>
            <c:strRef>
              <c:f>ANALYSIS!$AA$1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ANALYSIS!$AB$2:$AB$5</c:f>
              <c:numCache>
                <c:formatCode>0.00%</c:formatCode>
                <c:ptCount val="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</c:numCache>
            </c:numRef>
          </c:cat>
          <c:val>
            <c:numRef>
              <c:f>ANALYSIS!$AA$2:$AA$5</c:f>
              <c:numCache>
                <c:formatCode>0.00%</c:formatCode>
                <c:ptCount val="4"/>
                <c:pt idx="0">
                  <c:v>0.28570000000000001</c:v>
                </c:pt>
                <c:pt idx="1">
                  <c:v>0.57140000000000002</c:v>
                </c:pt>
                <c:pt idx="2">
                  <c:v>0.78569999999999995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D1-40A3-8350-49FF9BF9A4AF}"/>
            </c:ext>
          </c:extLst>
        </c:ser>
        <c:ser>
          <c:idx val="2"/>
          <c:order val="2"/>
          <c:tx>
            <c:v>threshold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ANALYSIS!$AB$2:$AB$5</c:f>
              <c:numCache>
                <c:formatCode>0.00%</c:formatCode>
                <c:ptCount val="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</c:numCache>
            </c:numRef>
          </c:cat>
          <c:val>
            <c:numRef>
              <c:f>ANALYSIS!$AB$2:$AB$5</c:f>
              <c:numCache>
                <c:formatCode>0.00%</c:formatCode>
                <c:ptCount val="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D1-40A3-8350-49FF9BF9A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127535"/>
        <c:axId val="1687467007"/>
      </c:lineChart>
      <c:catAx>
        <c:axId val="1532487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PROJECTS</a:t>
                </a:r>
              </a:p>
            </c:rich>
          </c:tx>
          <c:layout>
            <c:manualLayout>
              <c:xMode val="edge"/>
              <c:yMode val="edge"/>
              <c:x val="0.43554855643044627"/>
              <c:y val="0.77740667833187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36767"/>
        <c:crosses val="autoZero"/>
        <c:auto val="1"/>
        <c:lblAlgn val="ctr"/>
        <c:lblOffset val="100"/>
        <c:noMultiLvlLbl val="0"/>
      </c:catAx>
      <c:valAx>
        <c:axId val="168743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BUDGET</a:t>
                </a:r>
                <a:r>
                  <a:rPr lang="en-US" baseline="0"/>
                  <a:t> VARIANCE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487663"/>
        <c:crosses val="autoZero"/>
        <c:crossBetween val="between"/>
      </c:valAx>
      <c:valAx>
        <c:axId val="1687467007"/>
        <c:scaling>
          <c:orientation val="minMax"/>
          <c:max val="1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127535"/>
        <c:crosses val="max"/>
        <c:crossBetween val="between"/>
      </c:valAx>
      <c:catAx>
        <c:axId val="1779127535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687467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ANALYSIS!$D$3</c:f>
              <c:strCache>
                <c:ptCount val="1"/>
                <c:pt idx="0">
                  <c:v>P001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₦#,##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ANALYSIS!$C$5:$C$7</c:f>
              <c:strCache>
                <c:ptCount val="3"/>
                <c:pt idx="0">
                  <c:v>REVENUE</c:v>
                </c:pt>
                <c:pt idx="1">
                  <c:v>ACTUAL COST</c:v>
                </c:pt>
                <c:pt idx="2">
                  <c:v>PROFIT</c:v>
                </c:pt>
              </c:strCache>
            </c:strRef>
          </c:cat>
          <c:val>
            <c:numRef>
              <c:f>ANALYSIS!$D$5:$D$7</c:f>
              <c:numCache>
                <c:formatCode>General</c:formatCode>
                <c:ptCount val="3"/>
                <c:pt idx="0">
                  <c:v>220</c:v>
                </c:pt>
                <c:pt idx="1">
                  <c:v>165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C-49C3-9D8E-7EC7A5E33B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5386735"/>
        <c:axId val="1687485247"/>
      </c:barChart>
      <c:catAx>
        <c:axId val="187538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85247"/>
        <c:crosses val="autoZero"/>
        <c:auto val="1"/>
        <c:lblAlgn val="ctr"/>
        <c:lblOffset val="100"/>
        <c:noMultiLvlLbl val="0"/>
      </c:catAx>
      <c:valAx>
        <c:axId val="168748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₦#,##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38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REVENUE TO 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REVENUE TO PROFIT</a:t>
          </a:r>
        </a:p>
      </cx:txPr>
    </cx:title>
    <cx:plotArea>
      <cx:plotAreaRegion>
        <cx:series layoutId="waterfall" uniqueId="{00000000-1F02-4362-992F-B5EE5B770C24}">
          <cx:tx>
            <cx:txData>
              <cx:f>_xlchart.v1.1</cx:f>
              <cx:v>AMOUNT</cx:v>
            </cx:txData>
          </cx:tx>
          <cx:dataLabels pos="inEnd">
            <cx:numFmt formatCode="₦#,##0&quot;M&quot;" sourceLinked="0"/>
            <cx:visibility seriesName="0" categoryName="0" value="1"/>
            <cx:separator>, </cx:separator>
          </cx:dataLabels>
          <cx:dataId val="0"/>
          <cx:layoutPr>
            <cx:subtotals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>
      <cx:tx>
        <cx:txData>
          <cx:v>REVENUE CONTRIBUTION BY PROJECT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REVENUE CONTRIBUTION BY PROJECT</a:t>
          </a:r>
        </a:p>
      </cx:txPr>
    </cx:title>
    <cx:plotArea>
      <cx:plotAreaRegion>
        <cx:series layoutId="treemap" uniqueId="{00000000-3921-437D-BC7C-E8C76AB6557E}">
          <cx:tx>
            <cx:txData>
              <cx:f>_xlchart.v1.6</cx:f>
              <cx:v>Revenue ₦M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PROFIT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PROFIT DISTRIBUTION</a:t>
          </a:r>
        </a:p>
      </cx:txPr>
    </cx:title>
    <cx:plotArea>
      <cx:plotAreaRegion>
        <cx:series layoutId="clusteredColumn" uniqueId="{00000000-5ECD-424B-B32A-04490BF9115C}">
          <cx:tx>
            <cx:txData>
              <cx:f>_xlchart.v1.3</cx:f>
              <cx:v>PROFIT  ₦M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tickLabels/>
        <cx:numFmt formatCode="₦#,##0&quot;M&quot;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0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9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microsoft.com/office/2014/relationships/chartEx" Target="../charts/chartEx3.xml"/><Relationship Id="rId5" Type="http://schemas.microsoft.com/office/2014/relationships/chartEx" Target="../charts/chartEx1.xml"/><Relationship Id="rId10" Type="http://schemas.microsoft.com/office/2014/relationships/chartEx" Target="../charts/chartEx2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1</xdr:row>
      <xdr:rowOff>60960</xdr:rowOff>
    </xdr:from>
    <xdr:to>
      <xdr:col>3</xdr:col>
      <xdr:colOff>198120</xdr:colOff>
      <xdr:row>7</xdr:row>
      <xdr:rowOff>38100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0EBAC3E-B442-C079-6443-A19C27EC65F5}"/>
            </a:ext>
          </a:extLst>
        </xdr:cNvPr>
        <xdr:cNvGrpSpPr/>
      </xdr:nvGrpSpPr>
      <xdr:grpSpPr>
        <a:xfrm>
          <a:off x="365760" y="241935"/>
          <a:ext cx="1661160" cy="1062990"/>
          <a:chOff x="1394460" y="495300"/>
          <a:chExt cx="1661160" cy="1074420"/>
        </a:xfrm>
      </xdr:grpSpPr>
      <xdr:sp macro="" textlink="ANALYSIS!G2">
        <xdr:nvSpPr>
          <xdr:cNvPr id="2" name="Rectangle 1">
            <a:extLst>
              <a:ext uri="{FF2B5EF4-FFF2-40B4-BE49-F238E27FC236}">
                <a16:creationId xmlns:a16="http://schemas.microsoft.com/office/drawing/2014/main" id="{BB5BE22C-505D-7B48-6771-EDFA5A87A1CA}"/>
              </a:ext>
            </a:extLst>
          </xdr:cNvPr>
          <xdr:cNvSpPr/>
        </xdr:nvSpPr>
        <xdr:spPr>
          <a:xfrm>
            <a:off x="1394460" y="495300"/>
            <a:ext cx="1661160" cy="107442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35DFE41F-0D7B-4637-85BF-8C97FF6E6C85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4910</a:t>
            </a:fld>
            <a:endParaRPr lang="en-US" sz="1100"/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E152243-CC84-0AB7-FD65-6698F29A771B}"/>
              </a:ext>
            </a:extLst>
          </xdr:cNvPr>
          <xdr:cNvSpPr txBox="1"/>
        </xdr:nvSpPr>
        <xdr:spPr>
          <a:xfrm>
            <a:off x="1394460" y="495300"/>
            <a:ext cx="1661160" cy="342900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TOTAL</a:t>
            </a:r>
            <a:r>
              <a:rPr lang="en-US" sz="1100" baseline="0"/>
              <a:t> REVENUE </a:t>
            </a:r>
            <a:endParaRPr lang="en-US" sz="1100"/>
          </a:p>
        </xdr:txBody>
      </xdr:sp>
    </xdr:grpSp>
    <xdr:clientData/>
  </xdr:twoCellAnchor>
  <xdr:twoCellAnchor>
    <xdr:from>
      <xdr:col>13</xdr:col>
      <xdr:colOff>205740</xdr:colOff>
      <xdr:row>1</xdr:row>
      <xdr:rowOff>38100</xdr:rowOff>
    </xdr:from>
    <xdr:to>
      <xdr:col>16</xdr:col>
      <xdr:colOff>38100</xdr:colOff>
      <xdr:row>7</xdr:row>
      <xdr:rowOff>15240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54D3A04-24F3-413F-89AA-84E265A7481C}"/>
            </a:ext>
          </a:extLst>
        </xdr:cNvPr>
        <xdr:cNvGrpSpPr/>
      </xdr:nvGrpSpPr>
      <xdr:grpSpPr>
        <a:xfrm>
          <a:off x="8130540" y="219075"/>
          <a:ext cx="1661160" cy="1062990"/>
          <a:chOff x="1394460" y="495300"/>
          <a:chExt cx="1661160" cy="1074420"/>
        </a:xfrm>
      </xdr:grpSpPr>
      <xdr:sp macro="" textlink="ANALYSIS!G5">
        <xdr:nvSpPr>
          <xdr:cNvPr id="9" name="Rectangle 8">
            <a:extLst>
              <a:ext uri="{FF2B5EF4-FFF2-40B4-BE49-F238E27FC236}">
                <a16:creationId xmlns:a16="http://schemas.microsoft.com/office/drawing/2014/main" id="{BACFE1D3-F635-DDC1-4F23-255DE2FDB9D9}"/>
              </a:ext>
            </a:extLst>
          </xdr:cNvPr>
          <xdr:cNvSpPr/>
        </xdr:nvSpPr>
        <xdr:spPr>
          <a:xfrm>
            <a:off x="1394460" y="495300"/>
            <a:ext cx="1661160" cy="107442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82B53617-C14F-4161-B695-AAEEE82C4C2D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20%</a:t>
            </a:fld>
            <a:endParaRPr 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6C6AEB1E-EDF4-9A4C-0ADE-267A2C88B859}"/>
              </a:ext>
            </a:extLst>
          </xdr:cNvPr>
          <xdr:cNvSpPr txBox="1"/>
        </xdr:nvSpPr>
        <xdr:spPr>
          <a:xfrm>
            <a:off x="1394460" y="495300"/>
            <a:ext cx="1661160" cy="342900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aseline="0"/>
              <a:t>AVERAGE PROFIT MARGIN </a:t>
            </a:r>
            <a:endParaRPr lang="en-US" sz="1100"/>
          </a:p>
        </xdr:txBody>
      </xdr:sp>
    </xdr:grpSp>
    <xdr:clientData/>
  </xdr:twoCellAnchor>
  <xdr:twoCellAnchor>
    <xdr:from>
      <xdr:col>10</xdr:col>
      <xdr:colOff>91440</xdr:colOff>
      <xdr:row>1</xdr:row>
      <xdr:rowOff>60960</xdr:rowOff>
    </xdr:from>
    <xdr:to>
      <xdr:col>12</xdr:col>
      <xdr:colOff>533400</xdr:colOff>
      <xdr:row>7</xdr:row>
      <xdr:rowOff>38100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CFE9BE15-7719-4BC2-9219-51CF1FD724FF}"/>
            </a:ext>
          </a:extLst>
        </xdr:cNvPr>
        <xdr:cNvGrpSpPr/>
      </xdr:nvGrpSpPr>
      <xdr:grpSpPr>
        <a:xfrm>
          <a:off x="6187440" y="241935"/>
          <a:ext cx="1661160" cy="1062990"/>
          <a:chOff x="1394460" y="495300"/>
          <a:chExt cx="1661160" cy="1074420"/>
        </a:xfrm>
      </xdr:grpSpPr>
      <xdr:sp macro="" textlink="ANALYSIS!G6">
        <xdr:nvSpPr>
          <xdr:cNvPr id="12" name="Rectangle 11">
            <a:extLst>
              <a:ext uri="{FF2B5EF4-FFF2-40B4-BE49-F238E27FC236}">
                <a16:creationId xmlns:a16="http://schemas.microsoft.com/office/drawing/2014/main" id="{A7A3FF90-262E-6C2F-09A1-E2200E3F81B3}"/>
              </a:ext>
            </a:extLst>
          </xdr:cNvPr>
          <xdr:cNvSpPr/>
        </xdr:nvSpPr>
        <xdr:spPr>
          <a:xfrm>
            <a:off x="1394460" y="495300"/>
            <a:ext cx="1661160" cy="107442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84300255-1DE3-45AE-9C9C-99CAA402500D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4</a:t>
            </a:fld>
            <a:endParaRPr 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AF5227D-4D2D-B116-6182-453B2FAEA078}"/>
              </a:ext>
            </a:extLst>
          </xdr:cNvPr>
          <xdr:cNvSpPr txBox="1"/>
        </xdr:nvSpPr>
        <xdr:spPr>
          <a:xfrm>
            <a:off x="1394460" y="495300"/>
            <a:ext cx="1661160" cy="342900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PROJECTS</a:t>
            </a:r>
            <a:r>
              <a:rPr lang="en-US" sz="1100" baseline="0"/>
              <a:t> OVER BUDGET</a:t>
            </a:r>
            <a:endParaRPr lang="en-US" sz="1100"/>
          </a:p>
        </xdr:txBody>
      </xdr:sp>
    </xdr:grpSp>
    <xdr:clientData/>
  </xdr:twoCellAnchor>
  <xdr:twoCellAnchor>
    <xdr:from>
      <xdr:col>3</xdr:col>
      <xdr:colOff>464820</xdr:colOff>
      <xdr:row>1</xdr:row>
      <xdr:rowOff>53340</xdr:rowOff>
    </xdr:from>
    <xdr:to>
      <xdr:col>6</xdr:col>
      <xdr:colOff>297180</xdr:colOff>
      <xdr:row>7</xdr:row>
      <xdr:rowOff>30480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B6F6F8D-C59B-4B07-9966-1C9B8ABE581A}"/>
            </a:ext>
          </a:extLst>
        </xdr:cNvPr>
        <xdr:cNvGrpSpPr/>
      </xdr:nvGrpSpPr>
      <xdr:grpSpPr>
        <a:xfrm>
          <a:off x="2293620" y="234315"/>
          <a:ext cx="1661160" cy="1062990"/>
          <a:chOff x="1394460" y="495300"/>
          <a:chExt cx="1661160" cy="1074420"/>
        </a:xfrm>
      </xdr:grpSpPr>
      <xdr:sp macro="" textlink="ANALYSIS!G4">
        <xdr:nvSpPr>
          <xdr:cNvPr id="15" name="Rectangle 14">
            <a:extLst>
              <a:ext uri="{FF2B5EF4-FFF2-40B4-BE49-F238E27FC236}">
                <a16:creationId xmlns:a16="http://schemas.microsoft.com/office/drawing/2014/main" id="{AE6F6040-F670-59A2-0202-DB0C3627E9D2}"/>
              </a:ext>
            </a:extLst>
          </xdr:cNvPr>
          <xdr:cNvSpPr/>
        </xdr:nvSpPr>
        <xdr:spPr>
          <a:xfrm>
            <a:off x="1394460" y="495300"/>
            <a:ext cx="1661160" cy="107442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9534F3A2-0844-433B-BCF9-7A181E4FB632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939</a:t>
            </a:fld>
            <a:endParaRPr lang="en-US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6ADAA545-53AE-93B3-54E0-9C309A8BF756}"/>
              </a:ext>
            </a:extLst>
          </xdr:cNvPr>
          <xdr:cNvSpPr txBox="1"/>
        </xdr:nvSpPr>
        <xdr:spPr>
          <a:xfrm>
            <a:off x="1394460" y="495300"/>
            <a:ext cx="1661160" cy="342900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TOTAL</a:t>
            </a:r>
            <a:r>
              <a:rPr lang="en-US" sz="1100" baseline="0"/>
              <a:t> PROFIT</a:t>
            </a:r>
            <a:endParaRPr lang="en-US" sz="1100"/>
          </a:p>
        </xdr:txBody>
      </xdr:sp>
    </xdr:grpSp>
    <xdr:clientData/>
  </xdr:twoCellAnchor>
  <xdr:twoCellAnchor>
    <xdr:from>
      <xdr:col>6</xdr:col>
      <xdr:colOff>594360</xdr:colOff>
      <xdr:row>1</xdr:row>
      <xdr:rowOff>53340</xdr:rowOff>
    </xdr:from>
    <xdr:to>
      <xdr:col>9</xdr:col>
      <xdr:colOff>426720</xdr:colOff>
      <xdr:row>7</xdr:row>
      <xdr:rowOff>30480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849DB0FF-9921-4B07-B4D9-C4F8FFFD62C2}"/>
            </a:ext>
          </a:extLst>
        </xdr:cNvPr>
        <xdr:cNvGrpSpPr/>
      </xdr:nvGrpSpPr>
      <xdr:grpSpPr>
        <a:xfrm>
          <a:off x="4251960" y="234315"/>
          <a:ext cx="1661160" cy="1062990"/>
          <a:chOff x="1394460" y="495300"/>
          <a:chExt cx="1661160" cy="1074420"/>
        </a:xfrm>
      </xdr:grpSpPr>
      <xdr:sp macro="" textlink="ANALYSIS!G3">
        <xdr:nvSpPr>
          <xdr:cNvPr id="18" name="Rectangle 17">
            <a:extLst>
              <a:ext uri="{FF2B5EF4-FFF2-40B4-BE49-F238E27FC236}">
                <a16:creationId xmlns:a16="http://schemas.microsoft.com/office/drawing/2014/main" id="{A10CCA7C-9158-7345-D1B7-88A8C9CF062E}"/>
              </a:ext>
            </a:extLst>
          </xdr:cNvPr>
          <xdr:cNvSpPr/>
        </xdr:nvSpPr>
        <xdr:spPr>
          <a:xfrm>
            <a:off x="1394460" y="495300"/>
            <a:ext cx="1661160" cy="107442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AE3CE58A-4F3E-48DA-A948-4592D88FE3F3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3971</a:t>
            </a:fld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C9A44B13-923D-740B-51A1-218ECC7F6D0F}"/>
              </a:ext>
            </a:extLst>
          </xdr:cNvPr>
          <xdr:cNvSpPr txBox="1"/>
        </xdr:nvSpPr>
        <xdr:spPr>
          <a:xfrm>
            <a:off x="1394460" y="495300"/>
            <a:ext cx="1661160" cy="342900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TOTAL</a:t>
            </a:r>
            <a:r>
              <a:rPr lang="en-US" sz="1100" baseline="0"/>
              <a:t>  ACTUAL COST</a:t>
            </a:r>
          </a:p>
        </xdr:txBody>
      </xdr:sp>
    </xdr:grpSp>
    <xdr:clientData/>
  </xdr:twoCellAnchor>
  <xdr:twoCellAnchor>
    <xdr:from>
      <xdr:col>0</xdr:col>
      <xdr:colOff>0</xdr:colOff>
      <xdr:row>7</xdr:row>
      <xdr:rowOff>68580</xdr:rowOff>
    </xdr:from>
    <xdr:to>
      <xdr:col>6</xdr:col>
      <xdr:colOff>464820</xdr:colOff>
      <xdr:row>21</xdr:row>
      <xdr:rowOff>7620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77DFD41-3C46-40C3-A9F3-DA2E97905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7</xdr:row>
      <xdr:rowOff>60960</xdr:rowOff>
    </xdr:from>
    <xdr:to>
      <xdr:col>13</xdr:col>
      <xdr:colOff>495300</xdr:colOff>
      <xdr:row>21</xdr:row>
      <xdr:rowOff>22860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8AE7EF6-193E-4D2D-A229-E8A751C44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502920</xdr:colOff>
      <xdr:row>7</xdr:row>
      <xdr:rowOff>53340</xdr:rowOff>
    </xdr:from>
    <xdr:to>
      <xdr:col>21</xdr:col>
      <xdr:colOff>198120</xdr:colOff>
      <xdr:row>21</xdr:row>
      <xdr:rowOff>15240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FB855B6-BD3A-40E6-B514-EB08DBE50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206829</xdr:colOff>
      <xdr:row>7</xdr:row>
      <xdr:rowOff>21772</xdr:rowOff>
    </xdr:from>
    <xdr:to>
      <xdr:col>28</xdr:col>
      <xdr:colOff>511629</xdr:colOff>
      <xdr:row>21</xdr:row>
      <xdr:rowOff>10886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29DBF91-0A07-451D-BF81-332EF48FD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21</xdr:row>
      <xdr:rowOff>21772</xdr:rowOff>
    </xdr:from>
    <xdr:to>
      <xdr:col>6</xdr:col>
      <xdr:colOff>457200</xdr:colOff>
      <xdr:row>35</xdr:row>
      <xdr:rowOff>174172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5954A8A6-844B-4B1C-BAB5-875AD1BBE0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862252"/>
              <a:ext cx="4114800" cy="271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446314</xdr:colOff>
      <xdr:row>21</xdr:row>
      <xdr:rowOff>1</xdr:rowOff>
    </xdr:from>
    <xdr:to>
      <xdr:col>13</xdr:col>
      <xdr:colOff>522514</xdr:colOff>
      <xdr:row>35</xdr:row>
      <xdr:rowOff>152401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B4D6DDB-5BED-426F-9026-E365E94E8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495301</xdr:colOff>
      <xdr:row>21</xdr:row>
      <xdr:rowOff>10884</xdr:rowOff>
    </xdr:from>
    <xdr:to>
      <xdr:col>21</xdr:col>
      <xdr:colOff>239487</xdr:colOff>
      <xdr:row>35</xdr:row>
      <xdr:rowOff>163284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B9CBAE4-EA5F-496B-B397-9E1D7DCA7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250371</xdr:colOff>
      <xdr:row>21</xdr:row>
      <xdr:rowOff>21772</xdr:rowOff>
    </xdr:from>
    <xdr:to>
      <xdr:col>28</xdr:col>
      <xdr:colOff>511629</xdr:colOff>
      <xdr:row>35</xdr:row>
      <xdr:rowOff>174172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4655A4F-F943-45B8-A8C6-DAE597B96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10886</xdr:colOff>
      <xdr:row>35</xdr:row>
      <xdr:rowOff>174172</xdr:rowOff>
    </xdr:from>
    <xdr:to>
      <xdr:col>6</xdr:col>
      <xdr:colOff>457200</xdr:colOff>
      <xdr:row>50</xdr:row>
      <xdr:rowOff>141515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C3B9BA1-6CBF-4D37-846D-A955B5F5F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457200</xdr:colOff>
      <xdr:row>36</xdr:row>
      <xdr:rowOff>0</xdr:rowOff>
    </xdr:from>
    <xdr:to>
      <xdr:col>13</xdr:col>
      <xdr:colOff>520700</xdr:colOff>
      <xdr:row>50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1259FCBA-DA5E-405D-8B2E-7F72118B91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4800" y="6583680"/>
              <a:ext cx="4330700" cy="270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504825</xdr:colOff>
      <xdr:row>35</xdr:row>
      <xdr:rowOff>152400</xdr:rowOff>
    </xdr:from>
    <xdr:to>
      <xdr:col>21</xdr:col>
      <xdr:colOff>200025</xdr:colOff>
      <xdr:row>50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1" name="Chart 30">
              <a:extLst>
                <a:ext uri="{FF2B5EF4-FFF2-40B4-BE49-F238E27FC236}">
                  <a16:creationId xmlns:a16="http://schemas.microsoft.com/office/drawing/2014/main" id="{048D381A-6C7A-4736-BC1A-A825081283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6553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200024</xdr:colOff>
      <xdr:row>35</xdr:row>
      <xdr:rowOff>133350</xdr:rowOff>
    </xdr:from>
    <xdr:to>
      <xdr:col>28</xdr:col>
      <xdr:colOff>495299</xdr:colOff>
      <xdr:row>50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EC77DC-A686-43FA-B233-F8E00115A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219075</xdr:colOff>
      <xdr:row>53</xdr:row>
      <xdr:rowOff>0</xdr:rowOff>
    </xdr:from>
    <xdr:to>
      <xdr:col>17</xdr:col>
      <xdr:colOff>523875</xdr:colOff>
      <xdr:row>68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90086D-AF5D-4462-9681-A58916101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76FB-8205-4C47-B6CF-8CF92CE184B7}">
  <dimension ref="A1:AD16"/>
  <sheetViews>
    <sheetView workbookViewId="0">
      <selection activeCell="D16" sqref="D16"/>
    </sheetView>
  </sheetViews>
  <sheetFormatPr defaultRowHeight="14.4" x14ac:dyDescent="0.3"/>
  <cols>
    <col min="2" max="2" width="12.6640625" bestFit="1" customWidth="1"/>
    <col min="4" max="4" width="17.33203125" customWidth="1"/>
    <col min="5" max="5" width="14.44140625" bestFit="1" customWidth="1"/>
    <col min="6" max="6" width="11.44140625" style="1" customWidth="1"/>
    <col min="7" max="7" width="10.33203125" style="1" bestFit="1" customWidth="1"/>
    <col min="8" max="9" width="10.33203125" style="1" customWidth="1"/>
    <col min="10" max="10" width="10.33203125" customWidth="1"/>
    <col min="11" max="11" width="9.6640625" bestFit="1" customWidth="1"/>
    <col min="12" max="13" width="14.33203125" customWidth="1"/>
    <col min="14" max="14" width="13.44140625" customWidth="1"/>
    <col min="15" max="15" width="10.88671875" bestFit="1" customWidth="1"/>
    <col min="16" max="16" width="17.33203125" bestFit="1" customWidth="1"/>
    <col min="17" max="17" width="15.77734375" bestFit="1" customWidth="1"/>
    <col min="18" max="18" width="13.77734375" bestFit="1" customWidth="1"/>
    <col min="19" max="19" width="15" bestFit="1" customWidth="1"/>
    <col min="20" max="20" width="11.5546875" bestFit="1" customWidth="1"/>
    <col min="21" max="21" width="4.88671875" bestFit="1" customWidth="1"/>
    <col min="22" max="22" width="13.6640625" customWidth="1"/>
    <col min="23" max="23" width="12.33203125" customWidth="1"/>
    <col min="25" max="25" width="16.6640625" customWidth="1"/>
    <col min="26" max="26" width="15.109375" style="9" customWidth="1"/>
    <col min="27" max="27" width="13.6640625" customWidth="1"/>
    <col min="30" max="30" width="10" customWidth="1"/>
  </cols>
  <sheetData>
    <row r="1" spans="1:30" ht="28.8" x14ac:dyDescent="0.3">
      <c r="A1" s="2" t="s">
        <v>0</v>
      </c>
      <c r="B1" s="2" t="s">
        <v>1</v>
      </c>
      <c r="C1" s="2" t="s">
        <v>2</v>
      </c>
      <c r="D1" s="2" t="s">
        <v>88</v>
      </c>
      <c r="E1" s="2" t="s">
        <v>3</v>
      </c>
      <c r="F1" s="3" t="s">
        <v>4</v>
      </c>
      <c r="G1" s="3" t="s">
        <v>5</v>
      </c>
      <c r="H1" s="3" t="s">
        <v>80</v>
      </c>
      <c r="I1" s="3" t="s">
        <v>83</v>
      </c>
      <c r="J1" s="2" t="s">
        <v>84</v>
      </c>
      <c r="K1" s="2" t="s">
        <v>6</v>
      </c>
      <c r="L1" s="2" t="s">
        <v>85</v>
      </c>
      <c r="M1" s="2" t="s">
        <v>86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/>
      <c r="W1" s="2" t="s">
        <v>90</v>
      </c>
      <c r="X1" s="2" t="s">
        <v>65</v>
      </c>
      <c r="Y1" s="2" t="s">
        <v>66</v>
      </c>
      <c r="Z1" s="8" t="s">
        <v>67</v>
      </c>
      <c r="AA1" s="8" t="s">
        <v>68</v>
      </c>
      <c r="AB1" s="8" t="s">
        <v>69</v>
      </c>
      <c r="AC1" s="8" t="s">
        <v>70</v>
      </c>
      <c r="AD1" s="8" t="s">
        <v>71</v>
      </c>
    </row>
    <row r="2" spans="1:30" x14ac:dyDescent="0.3">
      <c r="A2" s="4" t="s">
        <v>43</v>
      </c>
      <c r="B2" s="4" t="s">
        <v>44</v>
      </c>
      <c r="C2" s="4" t="s">
        <v>21</v>
      </c>
      <c r="D2" s="4" t="str" cm="1">
        <f t="array" ref="D2:D5">_xlfn.UNIQUE(C2:C16)</f>
        <v>Abuja</v>
      </c>
      <c r="E2" s="4" t="s">
        <v>45</v>
      </c>
      <c r="F2" s="5">
        <v>45734</v>
      </c>
      <c r="G2" s="5">
        <v>46068</v>
      </c>
      <c r="H2" s="5" t="str">
        <f>TEXT(F2,"MMMM")</f>
        <v>March</v>
      </c>
      <c r="I2" s="5" t="str" cm="1">
        <f t="array" ref="I2:I7">_xlfn.UNIQUE(H2:H16)</f>
        <v>March</v>
      </c>
      <c r="J2" s="4">
        <f>SUMIF(H2:H16,"MARCH",K2:K16)</f>
        <v>1240</v>
      </c>
      <c r="K2" s="4">
        <v>500</v>
      </c>
      <c r="L2" s="4">
        <f>SUMIF(_xlfn.ANCHORARRAY($I$2),"march",$N$2:$N$16)</f>
        <v>485</v>
      </c>
      <c r="M2" s="4">
        <f>SUMIF(_xlfn.ANCHORARRAY($I$2),"MARCH",$W$2:$W$16)</f>
        <v>125</v>
      </c>
      <c r="N2" s="4">
        <v>485</v>
      </c>
      <c r="O2" s="4">
        <v>610</v>
      </c>
      <c r="P2" s="4">
        <v>82</v>
      </c>
      <c r="Q2" s="4">
        <v>85</v>
      </c>
      <c r="R2" s="4">
        <v>135</v>
      </c>
      <c r="S2" s="4">
        <v>195</v>
      </c>
      <c r="T2" s="4">
        <v>4.3</v>
      </c>
      <c r="U2" s="4">
        <v>105</v>
      </c>
      <c r="V2" s="4"/>
      <c r="W2">
        <f t="shared" ref="W2:W16" si="0">O2-N2</f>
        <v>125</v>
      </c>
      <c r="X2" s="7">
        <f>W2/O2</f>
        <v>0.20491803278688525</v>
      </c>
      <c r="Y2">
        <f>K2-N2</f>
        <v>15</v>
      </c>
      <c r="Z2" s="9">
        <f t="shared" ref="Z2:Z16" si="1">Q2-P2</f>
        <v>3</v>
      </c>
      <c r="AA2" s="6">
        <f t="shared" ref="AA2:AA16" si="2">O2/N2</f>
        <v>1.2577319587628866</v>
      </c>
      <c r="AB2" s="7">
        <f t="shared" ref="AB2:AB16" si="3">R2/N2</f>
        <v>0.27835051546391754</v>
      </c>
      <c r="AC2" s="7">
        <f t="shared" ref="AC2:AC16" si="4">S2/N2</f>
        <v>0.40206185567010311</v>
      </c>
      <c r="AD2" t="str">
        <f t="shared" ref="AD2:AD16" si="5">IF(OR(Z2&lt;-5,Y2&lt;-20),"CRITICAL",IF(OR(Z2&lt;0,Y2&lt;0),"ATTENTION","HEALTHY"))</f>
        <v>HEALTHY</v>
      </c>
    </row>
    <row r="3" spans="1:30" x14ac:dyDescent="0.3">
      <c r="A3" s="4" t="s">
        <v>37</v>
      </c>
      <c r="B3" s="4" t="s">
        <v>38</v>
      </c>
      <c r="C3" s="4" t="s">
        <v>21</v>
      </c>
      <c r="D3" s="4" t="str">
        <v>Lagos</v>
      </c>
      <c r="E3" s="4" t="s">
        <v>39</v>
      </c>
      <c r="F3" s="5">
        <v>45667</v>
      </c>
      <c r="G3" s="5">
        <v>46011</v>
      </c>
      <c r="H3" s="5" t="str">
        <f t="shared" ref="H3:H16" si="6">TEXT(F3,"MMMM")</f>
        <v>January</v>
      </c>
      <c r="I3" s="5" t="str">
        <v>January</v>
      </c>
      <c r="J3" s="4">
        <f>SUMIF($H$2:$H$16,"January",$K$2:$K$16)</f>
        <v>955</v>
      </c>
      <c r="K3" s="4">
        <v>450</v>
      </c>
      <c r="L3" s="4">
        <f>SUMIF(_xlfn.ANCHORARRAY($I$2),"january",$N$2:$N$16)</f>
        <v>430</v>
      </c>
      <c r="M3" s="4">
        <f>SUMIF(_xlfn.ANCHORARRAY($I$2),"JANUARY",$W$2:$W$16)</f>
        <v>110</v>
      </c>
      <c r="N3" s="4">
        <v>430</v>
      </c>
      <c r="O3" s="4">
        <v>540</v>
      </c>
      <c r="P3" s="4">
        <v>98</v>
      </c>
      <c r="Q3" s="4">
        <v>96</v>
      </c>
      <c r="R3" s="4">
        <v>120</v>
      </c>
      <c r="S3" s="4">
        <v>175</v>
      </c>
      <c r="T3" s="4">
        <v>4.8</v>
      </c>
      <c r="U3" s="4">
        <v>90</v>
      </c>
      <c r="V3" s="4"/>
      <c r="W3">
        <f t="shared" si="0"/>
        <v>110</v>
      </c>
      <c r="X3" s="7">
        <f t="shared" ref="X2:X16" si="7">W3/O3</f>
        <v>0.20370370370370369</v>
      </c>
      <c r="Y3">
        <f t="shared" ref="Y3:Y16" si="8">K3-N3</f>
        <v>20</v>
      </c>
      <c r="Z3" s="9">
        <f t="shared" si="1"/>
        <v>-2</v>
      </c>
      <c r="AA3" s="6">
        <f t="shared" si="2"/>
        <v>1.2558139534883721</v>
      </c>
      <c r="AB3" s="7">
        <f t="shared" si="3"/>
        <v>0.27906976744186046</v>
      </c>
      <c r="AC3" s="7">
        <f t="shared" si="4"/>
        <v>0.40697674418604651</v>
      </c>
      <c r="AD3" t="str">
        <f t="shared" si="5"/>
        <v>ATTENTION</v>
      </c>
    </row>
    <row r="4" spans="1:30" x14ac:dyDescent="0.3">
      <c r="A4" s="4" t="s">
        <v>58</v>
      </c>
      <c r="B4" s="4" t="s">
        <v>59</v>
      </c>
      <c r="C4" s="4" t="s">
        <v>17</v>
      </c>
      <c r="D4" s="4" t="str">
        <v>Kano</v>
      </c>
      <c r="E4" s="4" t="s">
        <v>60</v>
      </c>
      <c r="F4" s="5">
        <v>45717</v>
      </c>
      <c r="G4" s="5">
        <v>46068</v>
      </c>
      <c r="H4" s="5" t="str">
        <f t="shared" si="6"/>
        <v>March</v>
      </c>
      <c r="I4" s="5" t="str">
        <v>February</v>
      </c>
      <c r="J4" s="4">
        <f>SUMIF($H$2:$H$16,"February",$K$2:$K$16)</f>
        <v>695</v>
      </c>
      <c r="K4" s="4">
        <v>420</v>
      </c>
      <c r="L4" s="4">
        <f>SUMIF(_xlfn.ANCHORARRAY($I$2),"february",$N$2:$N$16)</f>
        <v>400</v>
      </c>
      <c r="M4" s="4">
        <f>SUMIF(_xlfn.ANCHORARRAY($I$2),"FEBRUARY",$W$2:$W$16)</f>
        <v>110</v>
      </c>
      <c r="N4" s="4">
        <v>400</v>
      </c>
      <c r="O4" s="4">
        <v>510</v>
      </c>
      <c r="P4" s="4">
        <v>85</v>
      </c>
      <c r="Q4" s="4">
        <v>88</v>
      </c>
      <c r="R4" s="4">
        <v>110</v>
      </c>
      <c r="S4" s="4">
        <v>165</v>
      </c>
      <c r="T4" s="4">
        <v>4.5</v>
      </c>
      <c r="U4" s="4">
        <v>82</v>
      </c>
      <c r="V4" s="4"/>
      <c r="W4">
        <f t="shared" si="0"/>
        <v>110</v>
      </c>
      <c r="X4" s="7">
        <f t="shared" si="7"/>
        <v>0.21568627450980393</v>
      </c>
      <c r="Y4">
        <f t="shared" si="8"/>
        <v>20</v>
      </c>
      <c r="Z4" s="9">
        <f t="shared" si="1"/>
        <v>3</v>
      </c>
      <c r="AA4" s="6">
        <f t="shared" si="2"/>
        <v>1.2749999999999999</v>
      </c>
      <c r="AB4" s="7">
        <f t="shared" si="3"/>
        <v>0.27500000000000002</v>
      </c>
      <c r="AC4" s="7">
        <f t="shared" si="4"/>
        <v>0.41249999999999998</v>
      </c>
      <c r="AD4" t="str">
        <f t="shared" si="5"/>
        <v>HEALTHY</v>
      </c>
    </row>
    <row r="5" spans="1:30" x14ac:dyDescent="0.3">
      <c r="A5" s="4" t="s">
        <v>23</v>
      </c>
      <c r="B5" s="4" t="s">
        <v>24</v>
      </c>
      <c r="C5" s="4" t="s">
        <v>17</v>
      </c>
      <c r="D5" s="4" t="str">
        <v>Enugu</v>
      </c>
      <c r="E5" s="4" t="s">
        <v>25</v>
      </c>
      <c r="F5" s="5">
        <v>45736</v>
      </c>
      <c r="G5" s="5">
        <v>45991</v>
      </c>
      <c r="H5" s="5" t="str">
        <f t="shared" si="6"/>
        <v>March</v>
      </c>
      <c r="I5" s="5" t="str">
        <v>April</v>
      </c>
      <c r="J5" s="4">
        <f>SUMIF($H$2:$H$16,"April",$K$2:$K$16)</f>
        <v>590</v>
      </c>
      <c r="K5" s="4">
        <v>320</v>
      </c>
      <c r="L5" s="4">
        <f>SUMIF(_xlfn.ANCHORARRAY($I$2),"april",$N$2:$N$16)</f>
        <v>305</v>
      </c>
      <c r="M5" s="4">
        <f>SUMIF(_xlfn.ANCHORARRAY($I$2),"APRIL",$W$2:$W$16)</f>
        <v>85</v>
      </c>
      <c r="N5" s="4">
        <v>305</v>
      </c>
      <c r="O5" s="4">
        <v>390</v>
      </c>
      <c r="P5" s="4">
        <v>90</v>
      </c>
      <c r="Q5" s="4">
        <v>94</v>
      </c>
      <c r="R5" s="4">
        <v>85</v>
      </c>
      <c r="S5" s="4">
        <v>120</v>
      </c>
      <c r="T5" s="4">
        <v>4.7</v>
      </c>
      <c r="U5" s="4">
        <v>65</v>
      </c>
      <c r="V5" s="4"/>
      <c r="W5">
        <f t="shared" si="0"/>
        <v>85</v>
      </c>
      <c r="X5" s="7">
        <f t="shared" si="7"/>
        <v>0.21794871794871795</v>
      </c>
      <c r="Y5">
        <f t="shared" si="8"/>
        <v>15</v>
      </c>
      <c r="Z5" s="9">
        <f t="shared" si="1"/>
        <v>4</v>
      </c>
      <c r="AA5" s="6">
        <f t="shared" si="2"/>
        <v>1.278688524590164</v>
      </c>
      <c r="AB5" s="7">
        <f t="shared" si="3"/>
        <v>0.27868852459016391</v>
      </c>
      <c r="AC5" s="7">
        <f t="shared" si="4"/>
        <v>0.39344262295081966</v>
      </c>
      <c r="AD5" t="str">
        <f t="shared" si="5"/>
        <v>HEALTHY</v>
      </c>
    </row>
    <row r="6" spans="1:30" x14ac:dyDescent="0.3">
      <c r="A6" s="4" t="s">
        <v>52</v>
      </c>
      <c r="B6" s="4" t="s">
        <v>53</v>
      </c>
      <c r="C6" s="4" t="s">
        <v>28</v>
      </c>
      <c r="D6" s="4"/>
      <c r="E6" s="4" t="s">
        <v>54</v>
      </c>
      <c r="F6" s="5">
        <v>45713</v>
      </c>
      <c r="G6" s="5">
        <v>46001</v>
      </c>
      <c r="H6" s="5" t="str">
        <f t="shared" si="6"/>
        <v>February</v>
      </c>
      <c r="I6" s="5" t="str">
        <v>May</v>
      </c>
      <c r="J6" s="4">
        <f>SUMIF($H$2:$H$16,"MAy",$K$2:$K$16)</f>
        <v>420</v>
      </c>
      <c r="K6" s="4">
        <v>275</v>
      </c>
      <c r="L6" s="4">
        <f>SUMIF(_xlfn.ANCHORARRAY($I$2),"may",$N$2:$N$16)</f>
        <v>260</v>
      </c>
      <c r="M6" s="4">
        <f>SUMIF(_xlfn.ANCHORARRAY($I$2),"MAY",$W$2:$W$16)</f>
        <v>80</v>
      </c>
      <c r="N6" s="4">
        <v>260</v>
      </c>
      <c r="O6" s="4">
        <v>340</v>
      </c>
      <c r="P6" s="4">
        <v>88</v>
      </c>
      <c r="Q6" s="4">
        <v>90</v>
      </c>
      <c r="R6" s="4">
        <v>70</v>
      </c>
      <c r="S6" s="4">
        <v>105</v>
      </c>
      <c r="T6" s="4">
        <v>4.5999999999999996</v>
      </c>
      <c r="U6" s="4">
        <v>60</v>
      </c>
      <c r="V6" s="4"/>
      <c r="W6">
        <f t="shared" si="0"/>
        <v>80</v>
      </c>
      <c r="X6" s="7">
        <f t="shared" si="7"/>
        <v>0.23529411764705882</v>
      </c>
      <c r="Y6">
        <f t="shared" si="8"/>
        <v>15</v>
      </c>
      <c r="Z6" s="9">
        <f t="shared" si="1"/>
        <v>2</v>
      </c>
      <c r="AA6" s="6">
        <f t="shared" si="2"/>
        <v>1.3076923076923077</v>
      </c>
      <c r="AB6" s="7">
        <f t="shared" si="3"/>
        <v>0.26923076923076922</v>
      </c>
      <c r="AC6" s="7">
        <f t="shared" si="4"/>
        <v>0.40384615384615385</v>
      </c>
      <c r="AD6" t="str">
        <f t="shared" si="5"/>
        <v>HEALTHY</v>
      </c>
    </row>
    <row r="7" spans="1:30" x14ac:dyDescent="0.3">
      <c r="A7" s="4" t="s">
        <v>55</v>
      </c>
      <c r="B7" s="4" t="s">
        <v>56</v>
      </c>
      <c r="C7" s="4" t="s">
        <v>21</v>
      </c>
      <c r="D7" s="4"/>
      <c r="E7" s="4" t="s">
        <v>57</v>
      </c>
      <c r="F7" s="5">
        <v>45757</v>
      </c>
      <c r="G7" s="5">
        <v>46052</v>
      </c>
      <c r="H7" s="5" t="str">
        <f t="shared" si="6"/>
        <v>April</v>
      </c>
      <c r="I7" s="5" t="str">
        <v>June</v>
      </c>
      <c r="J7" s="4">
        <f>SUMIF($H$2:$H$16,"june",$K$2:$K$16)</f>
        <v>150</v>
      </c>
      <c r="K7" s="4">
        <v>380</v>
      </c>
      <c r="L7" s="4">
        <f>SUMIF(_xlfn.ANCHORARRAY($I$2),"june",$N$2:$N$16)</f>
        <v>395</v>
      </c>
      <c r="M7" s="4">
        <f>SUMIF(_xlfn.ANCHORARRAY($I$2),"JUNE",$W$2:$W$16)</f>
        <v>65</v>
      </c>
      <c r="N7" s="4">
        <v>395</v>
      </c>
      <c r="O7" s="4">
        <v>460</v>
      </c>
      <c r="P7" s="4">
        <v>78</v>
      </c>
      <c r="Q7" s="4">
        <v>74</v>
      </c>
      <c r="R7" s="4">
        <v>105</v>
      </c>
      <c r="S7" s="4">
        <v>155</v>
      </c>
      <c r="T7" s="4">
        <v>3.9</v>
      </c>
      <c r="U7" s="4">
        <v>80</v>
      </c>
      <c r="V7" s="4"/>
      <c r="W7">
        <f t="shared" si="0"/>
        <v>65</v>
      </c>
      <c r="X7" s="7">
        <f t="shared" si="7"/>
        <v>0.14130434782608695</v>
      </c>
      <c r="Y7">
        <f t="shared" si="8"/>
        <v>-15</v>
      </c>
      <c r="Z7" s="9">
        <f t="shared" si="1"/>
        <v>-4</v>
      </c>
      <c r="AA7" s="6">
        <f t="shared" si="2"/>
        <v>1.1645569620253164</v>
      </c>
      <c r="AB7" s="7">
        <f t="shared" si="3"/>
        <v>0.26582278481012656</v>
      </c>
      <c r="AC7" s="7">
        <f t="shared" si="4"/>
        <v>0.39240506329113922</v>
      </c>
      <c r="AD7" t="str">
        <f t="shared" si="5"/>
        <v>ATTENTION</v>
      </c>
    </row>
    <row r="8" spans="1:30" x14ac:dyDescent="0.3">
      <c r="A8" s="4" t="s">
        <v>15</v>
      </c>
      <c r="B8" s="4" t="s">
        <v>16</v>
      </c>
      <c r="C8" s="4" t="s">
        <v>17</v>
      </c>
      <c r="D8" s="4"/>
      <c r="E8" s="4" t="s">
        <v>18</v>
      </c>
      <c r="F8" s="5">
        <v>45662</v>
      </c>
      <c r="G8" s="5">
        <v>46011</v>
      </c>
      <c r="H8" s="5" t="str">
        <f t="shared" si="6"/>
        <v>January</v>
      </c>
      <c r="I8" s="5"/>
      <c r="J8" s="4"/>
      <c r="K8" s="4">
        <v>180</v>
      </c>
      <c r="L8" s="4"/>
      <c r="M8" s="4"/>
      <c r="N8" s="4">
        <v>165</v>
      </c>
      <c r="O8" s="4">
        <v>220</v>
      </c>
      <c r="P8" s="4">
        <v>95</v>
      </c>
      <c r="Q8" s="4">
        <v>92</v>
      </c>
      <c r="R8" s="4">
        <v>48</v>
      </c>
      <c r="S8" s="4">
        <v>62</v>
      </c>
      <c r="T8" s="4">
        <v>4.5</v>
      </c>
      <c r="U8" s="4">
        <v>42</v>
      </c>
      <c r="V8" s="4"/>
      <c r="W8">
        <f t="shared" si="0"/>
        <v>55</v>
      </c>
      <c r="X8" s="7">
        <f t="shared" si="7"/>
        <v>0.25</v>
      </c>
      <c r="Y8">
        <f t="shared" si="8"/>
        <v>15</v>
      </c>
      <c r="Z8" s="9">
        <f t="shared" si="1"/>
        <v>-3</v>
      </c>
      <c r="AA8" s="6">
        <f t="shared" si="2"/>
        <v>1.3333333333333333</v>
      </c>
      <c r="AB8" s="7">
        <f t="shared" si="3"/>
        <v>0.29090909090909089</v>
      </c>
      <c r="AC8" s="7">
        <f t="shared" si="4"/>
        <v>0.37575757575757573</v>
      </c>
      <c r="AD8" t="str">
        <f t="shared" si="5"/>
        <v>ATTENTION</v>
      </c>
    </row>
    <row r="9" spans="1:30" x14ac:dyDescent="0.3">
      <c r="A9" s="4" t="s">
        <v>30</v>
      </c>
      <c r="B9" s="4" t="s">
        <v>31</v>
      </c>
      <c r="C9" s="4" t="s">
        <v>32</v>
      </c>
      <c r="D9" s="4"/>
      <c r="E9" s="4" t="s">
        <v>33</v>
      </c>
      <c r="F9" s="5">
        <v>45755</v>
      </c>
      <c r="G9" s="5">
        <v>46068</v>
      </c>
      <c r="H9" s="5" t="str">
        <f t="shared" si="6"/>
        <v>April</v>
      </c>
      <c r="I9" s="5"/>
      <c r="J9" s="4"/>
      <c r="K9" s="4">
        <v>210</v>
      </c>
      <c r="L9" s="4"/>
      <c r="M9" s="4"/>
      <c r="N9" s="4">
        <v>198</v>
      </c>
      <c r="O9" s="4">
        <v>250</v>
      </c>
      <c r="P9" s="4">
        <v>80</v>
      </c>
      <c r="Q9" s="4">
        <v>82</v>
      </c>
      <c r="R9" s="4">
        <v>55</v>
      </c>
      <c r="S9" s="4">
        <v>82</v>
      </c>
      <c r="T9" s="4">
        <v>4.2</v>
      </c>
      <c r="U9" s="4">
        <v>50</v>
      </c>
      <c r="V9" s="4"/>
      <c r="W9">
        <f t="shared" si="0"/>
        <v>52</v>
      </c>
      <c r="X9" s="7">
        <f t="shared" si="7"/>
        <v>0.20799999999999999</v>
      </c>
      <c r="Y9">
        <f t="shared" si="8"/>
        <v>12</v>
      </c>
      <c r="Z9" s="9">
        <f t="shared" si="1"/>
        <v>2</v>
      </c>
      <c r="AA9" s="6">
        <f t="shared" si="2"/>
        <v>1.2626262626262625</v>
      </c>
      <c r="AB9" s="7">
        <f t="shared" si="3"/>
        <v>0.27777777777777779</v>
      </c>
      <c r="AC9" s="7">
        <f t="shared" si="4"/>
        <v>0.41414141414141414</v>
      </c>
      <c r="AD9" t="str">
        <f t="shared" si="5"/>
        <v>HEALTHY</v>
      </c>
    </row>
    <row r="10" spans="1:30" x14ac:dyDescent="0.3">
      <c r="A10" s="4" t="s">
        <v>40</v>
      </c>
      <c r="B10" s="4" t="s">
        <v>41</v>
      </c>
      <c r="C10" s="4" t="s">
        <v>17</v>
      </c>
      <c r="D10" s="4"/>
      <c r="E10" s="4" t="s">
        <v>42</v>
      </c>
      <c r="F10" s="5">
        <v>45710</v>
      </c>
      <c r="G10" s="5">
        <v>46052</v>
      </c>
      <c r="H10" s="5" t="str">
        <f t="shared" si="6"/>
        <v>February</v>
      </c>
      <c r="I10" s="5"/>
      <c r="J10" s="4"/>
      <c r="K10" s="4">
        <v>170</v>
      </c>
      <c r="L10" s="4"/>
      <c r="M10" s="4"/>
      <c r="N10" s="4">
        <v>160</v>
      </c>
      <c r="O10" s="4">
        <v>210</v>
      </c>
      <c r="P10" s="4">
        <v>88</v>
      </c>
      <c r="Q10" s="4">
        <v>91</v>
      </c>
      <c r="R10" s="4">
        <v>42</v>
      </c>
      <c r="S10" s="4">
        <v>65</v>
      </c>
      <c r="T10" s="4">
        <v>4.5999999999999996</v>
      </c>
      <c r="U10" s="4">
        <v>38</v>
      </c>
      <c r="V10" s="4"/>
      <c r="W10">
        <f t="shared" si="0"/>
        <v>50</v>
      </c>
      <c r="X10" s="7">
        <f t="shared" si="7"/>
        <v>0.23809523809523808</v>
      </c>
      <c r="Y10">
        <f t="shared" si="8"/>
        <v>10</v>
      </c>
      <c r="Z10" s="9">
        <f t="shared" si="1"/>
        <v>3</v>
      </c>
      <c r="AA10" s="6">
        <f t="shared" si="2"/>
        <v>1.3125</v>
      </c>
      <c r="AB10" s="7">
        <f t="shared" si="3"/>
        <v>0.26250000000000001</v>
      </c>
      <c r="AC10" s="7">
        <f t="shared" si="4"/>
        <v>0.40625</v>
      </c>
      <c r="AD10" t="str">
        <f t="shared" si="5"/>
        <v>HEALTHY</v>
      </c>
    </row>
    <row r="11" spans="1:30" x14ac:dyDescent="0.3">
      <c r="A11" s="4" t="s">
        <v>61</v>
      </c>
      <c r="B11" s="4" t="s">
        <v>62</v>
      </c>
      <c r="C11" s="4" t="s">
        <v>32</v>
      </c>
      <c r="D11" s="4"/>
      <c r="E11" s="4" t="s">
        <v>63</v>
      </c>
      <c r="F11" s="5">
        <v>45792</v>
      </c>
      <c r="G11" s="5">
        <v>45991</v>
      </c>
      <c r="H11" s="5" t="str">
        <f t="shared" si="6"/>
        <v>May</v>
      </c>
      <c r="I11" s="5"/>
      <c r="J11" s="4"/>
      <c r="K11" s="4">
        <v>130</v>
      </c>
      <c r="L11" s="4"/>
      <c r="M11" s="4"/>
      <c r="N11" s="4">
        <v>118</v>
      </c>
      <c r="O11" s="4">
        <v>165</v>
      </c>
      <c r="P11" s="4">
        <v>95</v>
      </c>
      <c r="Q11" s="4">
        <v>97</v>
      </c>
      <c r="R11" s="4">
        <v>32</v>
      </c>
      <c r="S11" s="4">
        <v>45</v>
      </c>
      <c r="T11" s="4">
        <v>4.7</v>
      </c>
      <c r="U11" s="4">
        <v>28</v>
      </c>
      <c r="V11" s="4"/>
      <c r="W11">
        <f t="shared" si="0"/>
        <v>47</v>
      </c>
      <c r="X11" s="7">
        <f t="shared" si="7"/>
        <v>0.28484848484848485</v>
      </c>
      <c r="Y11">
        <f t="shared" si="8"/>
        <v>12</v>
      </c>
      <c r="Z11" s="9">
        <f t="shared" si="1"/>
        <v>2</v>
      </c>
      <c r="AA11" s="6">
        <f t="shared" si="2"/>
        <v>1.3983050847457628</v>
      </c>
      <c r="AB11" s="7">
        <f t="shared" si="3"/>
        <v>0.2711864406779661</v>
      </c>
      <c r="AC11" s="7">
        <f t="shared" si="4"/>
        <v>0.38135593220338981</v>
      </c>
      <c r="AD11" t="str">
        <f t="shared" si="5"/>
        <v>HEALTHY</v>
      </c>
    </row>
    <row r="12" spans="1:30" x14ac:dyDescent="0.3">
      <c r="A12" s="4" t="s">
        <v>46</v>
      </c>
      <c r="B12" s="4" t="s">
        <v>47</v>
      </c>
      <c r="C12" s="4" t="s">
        <v>32</v>
      </c>
      <c r="D12" s="4"/>
      <c r="E12" s="4" t="s">
        <v>48</v>
      </c>
      <c r="F12" s="5">
        <v>45813</v>
      </c>
      <c r="G12" s="5">
        <v>46132</v>
      </c>
      <c r="H12" s="5" t="str">
        <f t="shared" si="6"/>
        <v>June</v>
      </c>
      <c r="I12" s="5"/>
      <c r="J12" s="4"/>
      <c r="K12" s="4">
        <v>150</v>
      </c>
      <c r="L12" s="4"/>
      <c r="M12" s="4"/>
      <c r="N12" s="4">
        <v>142</v>
      </c>
      <c r="O12" s="4">
        <v>185</v>
      </c>
      <c r="P12" s="4">
        <v>70</v>
      </c>
      <c r="Q12" s="4">
        <v>72</v>
      </c>
      <c r="R12" s="4">
        <v>38</v>
      </c>
      <c r="S12" s="4">
        <v>55</v>
      </c>
      <c r="T12" s="4">
        <v>4</v>
      </c>
      <c r="U12" s="4">
        <v>35</v>
      </c>
      <c r="V12" s="4"/>
      <c r="W12">
        <f t="shared" si="0"/>
        <v>43</v>
      </c>
      <c r="X12" s="7">
        <f t="shared" si="7"/>
        <v>0.23243243243243245</v>
      </c>
      <c r="Y12">
        <f t="shared" si="8"/>
        <v>8</v>
      </c>
      <c r="Z12" s="9">
        <f t="shared" si="1"/>
        <v>2</v>
      </c>
      <c r="AA12" s="6">
        <f t="shared" si="2"/>
        <v>1.3028169014084507</v>
      </c>
      <c r="AB12" s="7">
        <f t="shared" si="3"/>
        <v>0.26760563380281688</v>
      </c>
      <c r="AC12" s="7">
        <f t="shared" si="4"/>
        <v>0.38732394366197181</v>
      </c>
      <c r="AD12" t="str">
        <f t="shared" si="5"/>
        <v>HEALTHY</v>
      </c>
    </row>
    <row r="13" spans="1:30" x14ac:dyDescent="0.3">
      <c r="A13" s="4" t="s">
        <v>34</v>
      </c>
      <c r="B13" s="4" t="s">
        <v>35</v>
      </c>
      <c r="C13" s="4" t="s">
        <v>17</v>
      </c>
      <c r="D13" s="4"/>
      <c r="E13" s="4" t="s">
        <v>36</v>
      </c>
      <c r="F13" s="5">
        <v>45778</v>
      </c>
      <c r="G13" s="5">
        <v>46111</v>
      </c>
      <c r="H13" s="5" t="str">
        <f t="shared" si="6"/>
        <v>May</v>
      </c>
      <c r="I13" s="5"/>
      <c r="J13" s="4"/>
      <c r="K13" s="4">
        <v>290</v>
      </c>
      <c r="L13" s="4"/>
      <c r="M13" s="4"/>
      <c r="N13" s="4">
        <v>310</v>
      </c>
      <c r="O13" s="4">
        <v>350</v>
      </c>
      <c r="P13" s="4">
        <v>75</v>
      </c>
      <c r="Q13" s="4">
        <v>68</v>
      </c>
      <c r="R13" s="4">
        <v>92</v>
      </c>
      <c r="S13" s="4">
        <v>128</v>
      </c>
      <c r="T13" s="4">
        <v>3.8</v>
      </c>
      <c r="U13" s="4">
        <v>72</v>
      </c>
      <c r="V13" s="4"/>
      <c r="W13">
        <f t="shared" si="0"/>
        <v>40</v>
      </c>
      <c r="X13" s="7">
        <f t="shared" si="7"/>
        <v>0.11428571428571428</v>
      </c>
      <c r="Y13">
        <f t="shared" si="8"/>
        <v>-20</v>
      </c>
      <c r="Z13" s="9">
        <f t="shared" si="1"/>
        <v>-7</v>
      </c>
      <c r="AA13" s="6">
        <f t="shared" si="2"/>
        <v>1.1290322580645162</v>
      </c>
      <c r="AB13" s="7">
        <f t="shared" si="3"/>
        <v>0.29677419354838708</v>
      </c>
      <c r="AC13" s="7">
        <f t="shared" si="4"/>
        <v>0.41290322580645161</v>
      </c>
      <c r="AD13" t="str">
        <f t="shared" si="5"/>
        <v>CRITICAL</v>
      </c>
    </row>
    <row r="14" spans="1:30" x14ac:dyDescent="0.3">
      <c r="A14" s="4" t="s">
        <v>26</v>
      </c>
      <c r="B14" s="4" t="s">
        <v>27</v>
      </c>
      <c r="C14" s="4" t="s">
        <v>28</v>
      </c>
      <c r="D14" s="4"/>
      <c r="E14" s="4" t="s">
        <v>29</v>
      </c>
      <c r="F14" s="5">
        <v>45672</v>
      </c>
      <c r="G14" s="5">
        <v>45955</v>
      </c>
      <c r="H14" s="5" t="str">
        <f t="shared" si="6"/>
        <v>January</v>
      </c>
      <c r="I14" s="5"/>
      <c r="J14" s="4"/>
      <c r="K14" s="4">
        <v>95</v>
      </c>
      <c r="L14" s="4"/>
      <c r="M14" s="4"/>
      <c r="N14" s="4">
        <v>88</v>
      </c>
      <c r="O14" s="4">
        <v>120</v>
      </c>
      <c r="P14" s="4">
        <v>100</v>
      </c>
      <c r="Q14" s="4">
        <v>98</v>
      </c>
      <c r="R14" s="4">
        <v>24</v>
      </c>
      <c r="S14" s="4">
        <v>35</v>
      </c>
      <c r="T14" s="4">
        <v>4.4000000000000004</v>
      </c>
      <c r="U14" s="4">
        <v>30</v>
      </c>
      <c r="V14" s="4"/>
      <c r="W14">
        <f t="shared" si="0"/>
        <v>32</v>
      </c>
      <c r="X14" s="7">
        <f t="shared" si="7"/>
        <v>0.26666666666666666</v>
      </c>
      <c r="Y14">
        <f t="shared" si="8"/>
        <v>7</v>
      </c>
      <c r="Z14" s="9">
        <f t="shared" si="1"/>
        <v>-2</v>
      </c>
      <c r="AA14" s="6">
        <f t="shared" si="2"/>
        <v>1.3636363636363635</v>
      </c>
      <c r="AB14" s="7">
        <f t="shared" si="3"/>
        <v>0.27272727272727271</v>
      </c>
      <c r="AC14" s="7">
        <f t="shared" si="4"/>
        <v>0.39772727272727271</v>
      </c>
      <c r="AD14" t="str">
        <f t="shared" si="5"/>
        <v>ATTENTION</v>
      </c>
    </row>
    <row r="15" spans="1:30" x14ac:dyDescent="0.3">
      <c r="A15" s="4" t="s">
        <v>49</v>
      </c>
      <c r="B15" s="4" t="s">
        <v>50</v>
      </c>
      <c r="C15" s="4" t="s">
        <v>17</v>
      </c>
      <c r="D15" s="4"/>
      <c r="E15" s="4" t="s">
        <v>51</v>
      </c>
      <c r="F15" s="5">
        <v>45669</v>
      </c>
      <c r="G15" s="5">
        <v>45976</v>
      </c>
      <c r="H15" s="5" t="str">
        <f t="shared" si="6"/>
        <v>January</v>
      </c>
      <c r="I15" s="5"/>
      <c r="J15" s="4"/>
      <c r="K15" s="4">
        <v>230</v>
      </c>
      <c r="L15" s="4"/>
      <c r="M15" s="4"/>
      <c r="N15" s="4">
        <v>245</v>
      </c>
      <c r="O15" s="4">
        <v>275</v>
      </c>
      <c r="P15" s="4">
        <v>92</v>
      </c>
      <c r="Q15" s="4">
        <v>86</v>
      </c>
      <c r="R15" s="4">
        <v>65</v>
      </c>
      <c r="S15" s="4">
        <v>100</v>
      </c>
      <c r="T15" s="4">
        <v>4.0999999999999996</v>
      </c>
      <c r="U15" s="4">
        <v>55</v>
      </c>
      <c r="V15" s="4"/>
      <c r="W15">
        <f t="shared" si="0"/>
        <v>30</v>
      </c>
      <c r="X15" s="7">
        <f t="shared" si="7"/>
        <v>0.10909090909090909</v>
      </c>
      <c r="Y15">
        <f t="shared" si="8"/>
        <v>-15</v>
      </c>
      <c r="Z15" s="9">
        <f t="shared" si="1"/>
        <v>-6</v>
      </c>
      <c r="AA15" s="6">
        <f t="shared" si="2"/>
        <v>1.1224489795918366</v>
      </c>
      <c r="AB15" s="7">
        <f t="shared" si="3"/>
        <v>0.26530612244897961</v>
      </c>
      <c r="AC15" s="7">
        <f t="shared" si="4"/>
        <v>0.40816326530612246</v>
      </c>
      <c r="AD15" t="str">
        <f t="shared" si="5"/>
        <v>CRITICAL</v>
      </c>
    </row>
    <row r="16" spans="1:30" x14ac:dyDescent="0.3">
      <c r="A16" s="4" t="s">
        <v>19</v>
      </c>
      <c r="B16" s="4" t="s">
        <v>20</v>
      </c>
      <c r="C16" s="4" t="s">
        <v>21</v>
      </c>
      <c r="D16" s="4"/>
      <c r="E16" s="4" t="s">
        <v>22</v>
      </c>
      <c r="F16" s="5">
        <v>45700</v>
      </c>
      <c r="G16" s="5">
        <v>46037</v>
      </c>
      <c r="H16" s="5" t="str">
        <f t="shared" si="6"/>
        <v>February</v>
      </c>
      <c r="I16" s="5"/>
      <c r="J16" s="4"/>
      <c r="K16" s="4">
        <v>250</v>
      </c>
      <c r="L16" s="4"/>
      <c r="M16" s="4"/>
      <c r="N16" s="4">
        <v>270</v>
      </c>
      <c r="O16" s="4">
        <v>285</v>
      </c>
      <c r="P16" s="4">
        <v>85</v>
      </c>
      <c r="Q16" s="4">
        <v>79</v>
      </c>
      <c r="R16" s="4">
        <v>72</v>
      </c>
      <c r="S16" s="4">
        <v>105</v>
      </c>
      <c r="T16" s="4">
        <v>4.0999999999999996</v>
      </c>
      <c r="U16" s="4">
        <v>58</v>
      </c>
      <c r="V16" s="4"/>
      <c r="W16">
        <f t="shared" si="0"/>
        <v>15</v>
      </c>
      <c r="X16" s="7">
        <f t="shared" si="7"/>
        <v>5.2631578947368418E-2</v>
      </c>
      <c r="Y16">
        <f t="shared" si="8"/>
        <v>-20</v>
      </c>
      <c r="Z16" s="9">
        <f t="shared" si="1"/>
        <v>-6</v>
      </c>
      <c r="AA16" s="6">
        <f t="shared" si="2"/>
        <v>1.0555555555555556</v>
      </c>
      <c r="AB16" s="7">
        <f t="shared" si="3"/>
        <v>0.26666666666666666</v>
      </c>
      <c r="AC16" s="7">
        <f t="shared" si="4"/>
        <v>0.3888888888888889</v>
      </c>
      <c r="AD16" t="str">
        <f t="shared" si="5"/>
        <v>CRITICAL</v>
      </c>
    </row>
  </sheetData>
  <sortState xmlns:xlrd2="http://schemas.microsoft.com/office/spreadsheetml/2017/richdata2" ref="A2:AD16">
    <sortCondition descending="1" ref="W2:W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4973-8663-4E90-98E4-9DE56E17DDE0}">
  <dimension ref="A1:AJ16"/>
  <sheetViews>
    <sheetView topLeftCell="I1" zoomScaleNormal="100" workbookViewId="0">
      <selection activeCell="A5" sqref="A5"/>
    </sheetView>
  </sheetViews>
  <sheetFormatPr defaultRowHeight="14.4" x14ac:dyDescent="0.3"/>
  <cols>
    <col min="3" max="3" width="17.5546875" customWidth="1"/>
    <col min="4" max="4" width="11.6640625" bestFit="1" customWidth="1"/>
    <col min="5" max="5" width="11.6640625" customWidth="1"/>
    <col min="6" max="6" width="25.21875" customWidth="1"/>
    <col min="7" max="7" width="8.88671875" customWidth="1"/>
    <col min="9" max="9" width="14.44140625" bestFit="1" customWidth="1"/>
    <col min="10" max="10" width="8.88671875" customWidth="1"/>
    <col min="11" max="11" width="12.21875" bestFit="1" customWidth="1"/>
    <col min="14" max="14" width="22.21875" bestFit="1" customWidth="1"/>
    <col min="15" max="15" width="8.33203125" bestFit="1" customWidth="1"/>
    <col min="17" max="17" width="15.77734375" customWidth="1"/>
    <col min="18" max="18" width="14.109375" customWidth="1"/>
    <col min="19" max="19" width="13.44140625" customWidth="1"/>
    <col min="23" max="23" width="10.77734375" customWidth="1"/>
    <col min="25" max="25" width="15.109375" customWidth="1"/>
    <col min="26" max="26" width="18.33203125" customWidth="1"/>
    <col min="27" max="27" width="13.88671875" style="15" customWidth="1"/>
    <col min="28" max="28" width="8.88671875" style="15"/>
    <col min="32" max="32" width="11.33203125" customWidth="1"/>
    <col min="33" max="33" width="10" bestFit="1" customWidth="1"/>
    <col min="35" max="35" width="13.6640625" bestFit="1" customWidth="1"/>
  </cols>
  <sheetData>
    <row r="1" spans="1:36" ht="28.8" x14ac:dyDescent="0.3">
      <c r="A1" s="2" t="s">
        <v>0</v>
      </c>
      <c r="B1" s="2"/>
      <c r="C1" s="25" t="s">
        <v>105</v>
      </c>
      <c r="D1" s="25"/>
      <c r="F1" s="10" t="s">
        <v>75</v>
      </c>
      <c r="G1" s="10" t="s">
        <v>76</v>
      </c>
      <c r="I1" s="10" t="s">
        <v>83</v>
      </c>
      <c r="J1" s="10" t="s">
        <v>81</v>
      </c>
      <c r="K1" s="10" t="s">
        <v>82</v>
      </c>
      <c r="L1" s="10" t="s">
        <v>64</v>
      </c>
      <c r="N1" s="10" t="s">
        <v>75</v>
      </c>
      <c r="O1" s="10" t="s">
        <v>87</v>
      </c>
      <c r="Q1" s="2" t="s">
        <v>1</v>
      </c>
      <c r="R1" s="2" t="s">
        <v>7</v>
      </c>
      <c r="S1" s="2" t="s">
        <v>8</v>
      </c>
      <c r="T1" s="2" t="s">
        <v>14</v>
      </c>
      <c r="V1" s="2" t="s">
        <v>89</v>
      </c>
      <c r="W1" s="2" t="s">
        <v>8</v>
      </c>
      <c r="Y1" s="17" t="s">
        <v>1</v>
      </c>
      <c r="Z1" s="18" t="s">
        <v>91</v>
      </c>
      <c r="AA1" s="19" t="s">
        <v>92</v>
      </c>
      <c r="AB1" s="20">
        <v>0.8</v>
      </c>
      <c r="AE1" s="21" t="s">
        <v>93</v>
      </c>
      <c r="AF1" s="21"/>
      <c r="AG1" s="21"/>
      <c r="AH1" s="21"/>
      <c r="AI1" s="21"/>
      <c r="AJ1" s="21"/>
    </row>
    <row r="2" spans="1:36" x14ac:dyDescent="0.3">
      <c r="A2" s="4" t="s">
        <v>15</v>
      </c>
      <c r="B2" s="4"/>
      <c r="C2" s="10" t="s">
        <v>100</v>
      </c>
      <c r="D2" s="10" t="s">
        <v>101</v>
      </c>
      <c r="F2" t="s">
        <v>77</v>
      </c>
      <c r="G2">
        <f>SUM('PROJECT DATA'!O2:O16)</f>
        <v>4910</v>
      </c>
      <c r="I2" s="5" t="str" cm="1">
        <f t="array" ref="I2:I7">_xlfn.ANCHORARRAY('PROJECT DATA'!I2)</f>
        <v>March</v>
      </c>
      <c r="J2">
        <f>'PROJECT DATA'!J2</f>
        <v>1240</v>
      </c>
      <c r="K2" cm="1">
        <f t="array" ref="K2:K7">'PROJECT DATA'!L2:L7</f>
        <v>485</v>
      </c>
      <c r="L2" cm="1">
        <f t="array" ref="L2:L7">'PROJECT DATA'!M2:M7</f>
        <v>125</v>
      </c>
      <c r="N2" t="s">
        <v>77</v>
      </c>
      <c r="O2">
        <f>G2</f>
        <v>4910</v>
      </c>
      <c r="Q2" s="12" t="s">
        <v>44</v>
      </c>
      <c r="R2" s="4">
        <v>485</v>
      </c>
      <c r="S2" s="4">
        <v>610</v>
      </c>
      <c r="T2" s="4">
        <v>105</v>
      </c>
      <c r="V2" t="str">
        <f>'PROJECT DATA'!D2</f>
        <v>Abuja</v>
      </c>
      <c r="W2">
        <f>SUMIF('PROJECT DATA'!$C$2:$C$16,"ABUJA",'PROJECT DATA'!$O$2:$O$16)</f>
        <v>1895</v>
      </c>
      <c r="Y2" s="14" t="s">
        <v>20</v>
      </c>
      <c r="Z2" s="13">
        <v>20</v>
      </c>
      <c r="AA2" s="16">
        <v>0.28570000000000001</v>
      </c>
      <c r="AB2" s="15">
        <v>0.8</v>
      </c>
      <c r="AE2" s="10" t="s">
        <v>89</v>
      </c>
      <c r="AF2" s="2" t="s">
        <v>8</v>
      </c>
      <c r="AG2" s="10" t="s">
        <v>90</v>
      </c>
      <c r="AH2" s="10" t="s">
        <v>94</v>
      </c>
      <c r="AI2" s="10" t="s">
        <v>95</v>
      </c>
    </row>
    <row r="3" spans="1:36" x14ac:dyDescent="0.3">
      <c r="A3" s="4" t="s">
        <v>19</v>
      </c>
      <c r="B3" s="4"/>
      <c r="C3" t="s">
        <v>102</v>
      </c>
      <c r="D3" s="26" t="s">
        <v>15</v>
      </c>
      <c r="F3" t="s">
        <v>78</v>
      </c>
      <c r="G3">
        <f>SUM('PROJECT DATA'!N2:N16)</f>
        <v>3971</v>
      </c>
      <c r="I3" s="4" t="str">
        <v>January</v>
      </c>
      <c r="J3">
        <f>'PROJECT DATA'!J3</f>
        <v>955</v>
      </c>
      <c r="K3">
        <v>430</v>
      </c>
      <c r="L3">
        <v>110</v>
      </c>
      <c r="N3" t="s">
        <v>78</v>
      </c>
      <c r="O3">
        <f>-G3</f>
        <v>-3971</v>
      </c>
      <c r="Q3" s="12" t="s">
        <v>38</v>
      </c>
      <c r="R3" s="4">
        <v>430</v>
      </c>
      <c r="S3" s="4">
        <v>540</v>
      </c>
      <c r="T3" s="4">
        <v>90</v>
      </c>
      <c r="V3" t="str">
        <f>'PROJECT DATA'!D3</f>
        <v>Lagos</v>
      </c>
      <c r="W3">
        <f>SUMIF('PROJECT DATA'!$C$2:$C$16,"LAGOS",'PROJECT DATA'!$O$2:$O$16)</f>
        <v>1955</v>
      </c>
      <c r="Y3" s="14" t="s">
        <v>35</v>
      </c>
      <c r="Z3" s="13">
        <v>20</v>
      </c>
      <c r="AA3" s="16">
        <v>0.57140000000000002</v>
      </c>
      <c r="AB3" s="15">
        <v>0.8</v>
      </c>
      <c r="AE3" t="s">
        <v>96</v>
      </c>
      <c r="AF3">
        <f>SUMIF('PROJECT DATA'!$C$2:$C$16,"ABUJA",'PROJECT DATA'!$O$2:$O$16)</f>
        <v>1895</v>
      </c>
      <c r="AG3">
        <f>SUMIF('PROJECT DATA'!$C$2:$C$16,"ABUJA",'PROJECT DATA'!$W$2:$W$16)</f>
        <v>315</v>
      </c>
      <c r="AH3" s="23">
        <f>AG3/AF3</f>
        <v>0.16622691292875991</v>
      </c>
      <c r="AI3" s="22">
        <f>AVERAGEIF('PROJECT DATA'!$C$2:$C$16,"ABUJA",'PROJECT DATA'!$T$2:$T$16)</f>
        <v>4.2750000000000004</v>
      </c>
    </row>
    <row r="4" spans="1:36" x14ac:dyDescent="0.3">
      <c r="A4" s="4" t="s">
        <v>23</v>
      </c>
      <c r="B4" s="4"/>
      <c r="C4" s="10" t="s">
        <v>87</v>
      </c>
      <c r="D4" s="10" t="s">
        <v>103</v>
      </c>
      <c r="F4" t="s">
        <v>79</v>
      </c>
      <c r="G4">
        <f>SUM('PROJECT DATA'!W2:W16)</f>
        <v>939</v>
      </c>
      <c r="I4" s="4" t="str">
        <v>February</v>
      </c>
      <c r="J4">
        <f>'PROJECT DATA'!J4</f>
        <v>695</v>
      </c>
      <c r="K4">
        <v>400</v>
      </c>
      <c r="L4">
        <v>110</v>
      </c>
      <c r="N4" t="s">
        <v>79</v>
      </c>
      <c r="O4">
        <f>G4</f>
        <v>939</v>
      </c>
      <c r="Q4" s="12" t="s">
        <v>59</v>
      </c>
      <c r="R4" s="4">
        <v>400</v>
      </c>
      <c r="S4" s="4">
        <v>510</v>
      </c>
      <c r="T4" s="4">
        <v>82</v>
      </c>
      <c r="V4" t="str">
        <f>'PROJECT DATA'!D4</f>
        <v>Kano</v>
      </c>
      <c r="W4">
        <f>SUMIF('PROJECT DATA'!$C$2:$C$16,"KANO",'PROJECT DATA'!$O$2:$O$16)</f>
        <v>460</v>
      </c>
      <c r="Y4" s="14" t="s">
        <v>50</v>
      </c>
      <c r="Z4" s="13">
        <v>15</v>
      </c>
      <c r="AA4" s="16">
        <v>0.78569999999999995</v>
      </c>
      <c r="AB4" s="15">
        <v>0.8</v>
      </c>
      <c r="AE4" t="s">
        <v>97</v>
      </c>
      <c r="AF4">
        <f>SUMIF('PROJECT DATA'!$C$2:$C$16,"LAGOS",'PROJECT DATA'!$O$2:$O$16)</f>
        <v>1955</v>
      </c>
      <c r="AG4">
        <f>SUMIF('PROJECT DATA'!$C$2:$C$16,"LAGOS",'PROJECT DATA'!$W$2:$W$16)</f>
        <v>370</v>
      </c>
      <c r="AH4" s="23">
        <f t="shared" ref="AH4:AH6" si="0">AG4/AF4</f>
        <v>0.18925831202046037</v>
      </c>
      <c r="AI4" s="22">
        <f>AVERAGEIF('PROJECT DATA'!$C$2:$C$16,"LAGOS",'PROJECT DATA'!$T$2:$T$16)</f>
        <v>4.3666666666666663</v>
      </c>
    </row>
    <row r="5" spans="1:36" x14ac:dyDescent="0.3">
      <c r="A5" s="4" t="s">
        <v>26</v>
      </c>
      <c r="B5" s="4"/>
      <c r="C5" t="s">
        <v>81</v>
      </c>
      <c r="D5">
        <f>_xlfn.XLOOKUP(ANALYSIS!$D$3,'PROJECT DATA'!$A$2:$A$16,'PROJECT DATA'!$O$2:$O$16)</f>
        <v>220</v>
      </c>
      <c r="F5" t="s">
        <v>72</v>
      </c>
      <c r="G5" s="11">
        <f>AVERAGE('PROJECT DATA'!X2:X16)</f>
        <v>0.19832708125260468</v>
      </c>
      <c r="I5" s="4" t="str">
        <v>April</v>
      </c>
      <c r="J5">
        <f>'PROJECT DATA'!J5</f>
        <v>590</v>
      </c>
      <c r="K5">
        <v>305</v>
      </c>
      <c r="L5">
        <v>85</v>
      </c>
      <c r="Q5" s="12" t="s">
        <v>24</v>
      </c>
      <c r="R5" s="4">
        <v>305</v>
      </c>
      <c r="S5" s="4">
        <v>390</v>
      </c>
      <c r="T5" s="4">
        <v>65</v>
      </c>
      <c r="V5" t="str">
        <f>'PROJECT DATA'!D5</f>
        <v>Enugu</v>
      </c>
      <c r="W5">
        <f>SUMIF('PROJECT DATA'!$C$2:$C$16,"ENUGU",'PROJECT DATA'!$O$2:$O$16)</f>
        <v>600</v>
      </c>
      <c r="Y5" s="14" t="s">
        <v>56</v>
      </c>
      <c r="Z5" s="13">
        <v>15</v>
      </c>
      <c r="AA5" s="16">
        <v>1</v>
      </c>
      <c r="AB5" s="15">
        <v>0.8</v>
      </c>
      <c r="AE5" t="s">
        <v>98</v>
      </c>
      <c r="AF5">
        <f>SUMIF('PROJECT DATA'!$C$2:$C$16,"KANO",'PROJECT DATA'!$O$2:$O$16)</f>
        <v>460</v>
      </c>
      <c r="AG5">
        <f>SUMIF('PROJECT DATA'!$C$2:$C$16,"KANO",'PROJECT DATA'!$W$2:$W$16)</f>
        <v>112</v>
      </c>
      <c r="AH5" s="23">
        <f t="shared" si="0"/>
        <v>0.24347826086956523</v>
      </c>
      <c r="AI5" s="22">
        <f>AVERAGEIF('PROJECT DATA'!$C$2:$C$16,"KANO",'PROJECT DATA'!$T$2:$T$16)</f>
        <v>4.5</v>
      </c>
    </row>
    <row r="6" spans="1:36" x14ac:dyDescent="0.3">
      <c r="A6" s="4" t="s">
        <v>30</v>
      </c>
      <c r="B6" s="4"/>
      <c r="C6" t="s">
        <v>82</v>
      </c>
      <c r="D6">
        <f>_xlfn.XLOOKUP(ANALYSIS!$D$3,'PROJECT DATA'!$A$2:$A$16,'PROJECT DATA'!$N$2:$N$16)</f>
        <v>165</v>
      </c>
      <c r="F6" t="s">
        <v>73</v>
      </c>
      <c r="G6">
        <f>COUNTIF('PROJECT DATA'!Y2:Y16,"&lt;0")</f>
        <v>4</v>
      </c>
      <c r="I6" s="4" t="str">
        <v>May</v>
      </c>
      <c r="J6">
        <f>'PROJECT DATA'!J6</f>
        <v>420</v>
      </c>
      <c r="K6">
        <v>260</v>
      </c>
      <c r="L6">
        <v>80</v>
      </c>
      <c r="Q6" s="12" t="s">
        <v>53</v>
      </c>
      <c r="R6" s="4">
        <v>260</v>
      </c>
      <c r="S6" s="4">
        <v>340</v>
      </c>
      <c r="T6" s="4">
        <v>60</v>
      </c>
      <c r="Y6" s="4"/>
      <c r="AE6" t="s">
        <v>99</v>
      </c>
      <c r="AF6">
        <f>SUMIF('PROJECT DATA'!$C$2:$C$16,"ENUGU",'PROJECT DATA'!$O$2:$O$16)</f>
        <v>600</v>
      </c>
      <c r="AG6">
        <f>SUMIF('PROJECT DATA'!$C$2:$C$16,"ENUGU",'PROJECT DATA'!$W$2:$W$16)</f>
        <v>142</v>
      </c>
      <c r="AH6" s="23">
        <f t="shared" si="0"/>
        <v>0.23666666666666666</v>
      </c>
      <c r="AI6" s="22">
        <f>AVERAGEIF('PROJECT DATA'!$C$2:$C$16,"ENUGU",'PROJECT DATA'!$T$2:$T$16)</f>
        <v>4.3</v>
      </c>
    </row>
    <row r="7" spans="1:36" x14ac:dyDescent="0.3">
      <c r="A7" s="4" t="s">
        <v>34</v>
      </c>
      <c r="B7" s="4"/>
      <c r="C7" t="s">
        <v>64</v>
      </c>
      <c r="D7">
        <f>_xlfn.XLOOKUP(ANALYSIS!$D$3,'PROJECT DATA'!$A$2:$A$16,'PROJECT DATA'!$W$2:$W$16)</f>
        <v>55</v>
      </c>
      <c r="F7" t="s">
        <v>74</v>
      </c>
      <c r="G7" s="6">
        <f>AVERAGE('PROJECT DATA'!T2:T16)</f>
        <v>4.3466666666666667</v>
      </c>
      <c r="I7" s="4" t="str">
        <v>June</v>
      </c>
      <c r="J7">
        <f>'PROJECT DATA'!J7</f>
        <v>150</v>
      </c>
      <c r="K7">
        <v>395</v>
      </c>
      <c r="L7">
        <v>65</v>
      </c>
      <c r="Q7" s="12" t="s">
        <v>56</v>
      </c>
      <c r="R7" s="4">
        <v>395</v>
      </c>
      <c r="S7" s="4">
        <v>460</v>
      </c>
      <c r="T7" s="4">
        <v>80</v>
      </c>
      <c r="Y7" s="4"/>
    </row>
    <row r="8" spans="1:36" x14ac:dyDescent="0.3">
      <c r="A8" s="4" t="s">
        <v>37</v>
      </c>
      <c r="B8" s="4"/>
      <c r="Q8" s="12" t="s">
        <v>16</v>
      </c>
      <c r="R8" s="4">
        <v>165</v>
      </c>
      <c r="S8" s="4">
        <v>220</v>
      </c>
      <c r="T8" s="4">
        <v>42</v>
      </c>
      <c r="Y8" s="4"/>
    </row>
    <row r="9" spans="1:36" x14ac:dyDescent="0.3">
      <c r="A9" s="4" t="s">
        <v>40</v>
      </c>
      <c r="B9" s="4"/>
      <c r="Q9" s="12" t="s">
        <v>31</v>
      </c>
      <c r="R9" s="4">
        <v>198</v>
      </c>
      <c r="S9" s="4">
        <v>250</v>
      </c>
      <c r="T9" s="4">
        <v>50</v>
      </c>
      <c r="Y9" s="4"/>
    </row>
    <row r="10" spans="1:36" x14ac:dyDescent="0.3">
      <c r="A10" s="4" t="s">
        <v>43</v>
      </c>
      <c r="B10" s="4"/>
      <c r="Q10" s="12" t="s">
        <v>41</v>
      </c>
      <c r="R10" s="4">
        <v>160</v>
      </c>
      <c r="S10" s="4">
        <v>210</v>
      </c>
      <c r="T10" s="4">
        <v>38</v>
      </c>
      <c r="Y10" s="4"/>
    </row>
    <row r="11" spans="1:36" x14ac:dyDescent="0.3">
      <c r="A11" s="4" t="s">
        <v>46</v>
      </c>
      <c r="B11" s="4"/>
      <c r="Q11" s="12" t="s">
        <v>62</v>
      </c>
      <c r="R11" s="4">
        <v>118</v>
      </c>
      <c r="S11" s="4">
        <v>165</v>
      </c>
      <c r="T11" s="4">
        <v>28</v>
      </c>
      <c r="Y11" s="4"/>
    </row>
    <row r="12" spans="1:36" x14ac:dyDescent="0.3">
      <c r="A12" s="4" t="s">
        <v>49</v>
      </c>
      <c r="B12" s="4"/>
      <c r="Q12" s="12" t="s">
        <v>47</v>
      </c>
      <c r="R12" s="4">
        <v>142</v>
      </c>
      <c r="S12" s="4">
        <v>185</v>
      </c>
      <c r="T12" s="4">
        <v>35</v>
      </c>
      <c r="Y12" s="4"/>
    </row>
    <row r="13" spans="1:36" x14ac:dyDescent="0.3">
      <c r="A13" s="4" t="s">
        <v>52</v>
      </c>
      <c r="B13" s="4"/>
      <c r="Q13" s="12" t="s">
        <v>35</v>
      </c>
      <c r="R13" s="4">
        <v>310</v>
      </c>
      <c r="S13" s="4">
        <v>350</v>
      </c>
      <c r="T13" s="4">
        <v>72</v>
      </c>
      <c r="Y13" s="4"/>
    </row>
    <row r="14" spans="1:36" x14ac:dyDescent="0.3">
      <c r="A14" s="4" t="s">
        <v>55</v>
      </c>
      <c r="B14" s="4"/>
      <c r="Q14" s="12" t="s">
        <v>27</v>
      </c>
      <c r="R14" s="4">
        <v>88</v>
      </c>
      <c r="S14" s="4">
        <v>120</v>
      </c>
      <c r="T14" s="4">
        <v>30</v>
      </c>
      <c r="Y14" s="4"/>
    </row>
    <row r="15" spans="1:36" x14ac:dyDescent="0.3">
      <c r="A15" s="4" t="s">
        <v>58</v>
      </c>
      <c r="B15" s="4"/>
      <c r="Q15" s="12" t="s">
        <v>44</v>
      </c>
      <c r="R15" s="4">
        <v>245</v>
      </c>
      <c r="S15" s="4">
        <v>275</v>
      </c>
      <c r="T15" s="4">
        <v>55</v>
      </c>
      <c r="Y15" s="4"/>
    </row>
    <row r="16" spans="1:36" x14ac:dyDescent="0.3">
      <c r="A16" s="4" t="s">
        <v>61</v>
      </c>
      <c r="B16" s="4"/>
      <c r="Q16" s="12" t="s">
        <v>38</v>
      </c>
      <c r="R16" s="4">
        <v>270</v>
      </c>
      <c r="S16" s="4">
        <v>285</v>
      </c>
      <c r="T16" s="4">
        <v>58</v>
      </c>
      <c r="Y16" s="4"/>
    </row>
  </sheetData>
  <sheetProtection algorithmName="SHA-512" hashValue="eHjFUdPIlE/B6BEpe4LE+ueznkvyXYqfaMMULJ6GwShcfLpEfm3e9fvkkjbQ5jMyH0mbjUG7djl06MqHakhZSA==" saltValue="Tu2lNZ21b5/1TWb49Co+1A==" spinCount="100000" sheet="1" objects="1" scenarios="1"/>
  <sortState xmlns:xlrd2="http://schemas.microsoft.com/office/spreadsheetml/2017/richdata2" ref="A2:A16">
    <sortCondition ref="A1:A16"/>
  </sortState>
  <mergeCells count="2">
    <mergeCell ref="AE1:AJ1"/>
    <mergeCell ref="C1:D1"/>
  </mergeCells>
  <conditionalFormatting sqref="AF3:AI6">
    <cfRule type="colorScale" priority="6">
      <colorScale>
        <cfvo type="min"/>
        <cfvo type="max"/>
        <color rgb="FFFCFCFF"/>
        <color rgb="FFF8696B"/>
      </colorScale>
    </cfRule>
  </conditionalFormatting>
  <conditionalFormatting sqref="AF3:AF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G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:AH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I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3" xr:uid="{5C7F9BC9-79BE-46FB-BCDF-32C909E1F5CA}">
      <formula1>$A$2:$A$16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986B-026C-42F4-BF21-20491B0B60E8}">
  <dimension ref="J53:S53"/>
  <sheetViews>
    <sheetView tabSelected="1" topLeftCell="A16" zoomScale="80" zoomScaleNormal="80" workbookViewId="0">
      <selection activeCell="U65" sqref="U65"/>
    </sheetView>
  </sheetViews>
  <sheetFormatPr defaultRowHeight="14.4" x14ac:dyDescent="0.3"/>
  <sheetData>
    <row r="53" spans="10:19" ht="23.4" x14ac:dyDescent="0.45">
      <c r="J53" s="24" t="s">
        <v>104</v>
      </c>
      <c r="K53" s="24"/>
      <c r="L53" s="24"/>
      <c r="M53" s="24"/>
      <c r="N53" s="24"/>
      <c r="O53" s="24"/>
      <c r="P53" s="24"/>
      <c r="Q53" s="24"/>
      <c r="R53" s="24"/>
      <c r="S53" s="24"/>
    </row>
  </sheetData>
  <sheetProtection algorithmName="SHA-512" hashValue="dfTRyY0g38jcH6dv+36G0H8AIHBE2V5OCidZaOKZKyXtyDOxIor54ALFYr0wYo4CaEsVNwS2ynCn66ZxSZpiWg==" saltValue="60WMMBb/UYrULfaBZ9+iJw==" spinCount="100000" sheet="1" objects="1" scenarios="1"/>
  <mergeCells count="1">
    <mergeCell ref="J53:S5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Ekpobadarho</dc:creator>
  <cp:lastModifiedBy>Anthony Ekpobadarho</cp:lastModifiedBy>
  <dcterms:created xsi:type="dcterms:W3CDTF">2026-09-15T21:41:40Z</dcterms:created>
  <dcterms:modified xsi:type="dcterms:W3CDTF">2026-09-26T00:06:06Z</dcterms:modified>
</cp:coreProperties>
</file>